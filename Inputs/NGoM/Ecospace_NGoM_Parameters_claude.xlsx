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sw200\OneDrive - University of Miami\Documents\GitHub\OptimalEcospace\Inputs\NGoM\"/>
    </mc:Choice>
  </mc:AlternateContent>
  <xr:revisionPtr revIDLastSave="0" documentId="13_ncr:1_{38970478-5CFF-4D0A-878C-BE06AE21C750}" xr6:coauthVersionLast="47" xr6:coauthVersionMax="47" xr10:uidLastSave="{00000000-0000-0000-0000-000000000000}"/>
  <bookViews>
    <workbookView xWindow="38280" yWindow="7590" windowWidth="29040" windowHeight="15720" activeTab="1" xr2:uid="{00000000-000D-0000-FFFF-FFFF00000000}"/>
  </bookViews>
  <sheets>
    <sheet name="Habitat Affinities" sheetId="1" r:id="rId1"/>
    <sheet name="Environmental Preferences" sheetId="2" r:id="rId2"/>
    <sheet name="Key Referenc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7" i="2" l="1"/>
  <c r="T75" i="2"/>
  <c r="P75" i="2"/>
  <c r="L75" i="2"/>
  <c r="H75" i="2"/>
  <c r="D75" i="2"/>
</calcChain>
</file>

<file path=xl/sharedStrings.xml><?xml version="1.0" encoding="utf-8"?>
<sst xmlns="http://schemas.openxmlformats.org/spreadsheetml/2006/main" count="1239" uniqueCount="388">
  <si>
    <t>Ecospace Model – Habitat Affinities  |  Northern Gulf of Mexico Panhandle</t>
  </si>
  <si>
    <t>Affinities scaled 0–1 (0 = absent / unsuitable, 1 = strongly preferred).  Based on Chagaris et al. (2020) and sources cited in Reference column.</t>
  </si>
  <si>
    <t>#</t>
  </si>
  <si>
    <t>Group Name</t>
  </si>
  <si>
    <t>Category</t>
  </si>
  <si>
    <t>Artificial
Reef</t>
  </si>
  <si>
    <t>Gravel</t>
  </si>
  <si>
    <t>Rock</t>
  </si>
  <si>
    <t>Mud</t>
  </si>
  <si>
    <t>Sand</t>
  </si>
  <si>
    <t>Reference</t>
  </si>
  <si>
    <t>pelagic sharks</t>
  </si>
  <si>
    <t>pelagic fish</t>
  </si>
  <si>
    <t>Compagno 1984; Kohler &amp; Turner 2001 (NMFS Tech Memo)</t>
  </si>
  <si>
    <t>demersal sharks</t>
  </si>
  <si>
    <t>demersal fish</t>
  </si>
  <si>
    <t>Compagno 1984; Froese &amp; Pauly 2018 (FishBase)</t>
  </si>
  <si>
    <t>rays and small sharks</t>
  </si>
  <si>
    <t>Neer &amp; Thompson 2005 (Fish Bull.); Last &amp; Stevens 2009</t>
  </si>
  <si>
    <t>large pelagic piscivores</t>
  </si>
  <si>
    <t>Collette &amp; Nauen 1983 (FAO); Prince et al. 2010</t>
  </si>
  <si>
    <t>greater amberjack</t>
  </si>
  <si>
    <t>Fable et al. 1987 (NMFS); SEDAR 33 (2014); Dance et al. 2011</t>
  </si>
  <si>
    <t>small pelagics</t>
  </si>
  <si>
    <t>Stoehr et al. 2017 (GCFI); FishBase (Froese &amp; Pauly 2018)</t>
  </si>
  <si>
    <t>reef carnivores</t>
  </si>
  <si>
    <t>reef fish</t>
  </si>
  <si>
    <t>Dance et al. 2011 (Bull. Mar. Sci.); Tarnecki &amp; Patterson 2015</t>
  </si>
  <si>
    <t>gag</t>
  </si>
  <si>
    <t>Coleman et al. 1996 (Bull. Mar. Sci.); SEDAR 33 update 2016</t>
  </si>
  <si>
    <t>gag 0-1</t>
  </si>
  <si>
    <t>Coleman et al. 1996; Koenig &amp; Coleman 1998 (Trans. Am. Fish. Soc.)</t>
  </si>
  <si>
    <t>gag 1-3</t>
  </si>
  <si>
    <t>Coleman et al. 1996; SEDAR 33 update 2016</t>
  </si>
  <si>
    <t>gag 3+</t>
  </si>
  <si>
    <t>Coleman et al. 1996; SEDAR 33 update 2016; Dance et al. 2011</t>
  </si>
  <si>
    <t>red grouper</t>
  </si>
  <si>
    <t>Moe 1969 (FL Dept. Nat. Res.); Lombardi-Carlson et al. 2008; SEDAR 42 (2015)</t>
  </si>
  <si>
    <t>red grouper 0-1</t>
  </si>
  <si>
    <t>Moe 1969; Lombardi-Carlson et al. 2008</t>
  </si>
  <si>
    <t>red grouper 1-3</t>
  </si>
  <si>
    <t>Moe 1969; SEDAR 42 (2015)</t>
  </si>
  <si>
    <t>red grouper 3+</t>
  </si>
  <si>
    <t>Moe 1969; Lombardi-Carlson et al. 2008; SEDAR 42 (2015)</t>
  </si>
  <si>
    <t>red snapper</t>
  </si>
  <si>
    <t>Patterson et al. 2009; Dance et al. 2011; SEDAR 31 (2011)</t>
  </si>
  <si>
    <t>red snapper juv</t>
  </si>
  <si>
    <t>Workman &amp; Foster 1994 (NOAA Tech. Memo); Patterson et al. 2009; Gallaway et al. 2009</t>
  </si>
  <si>
    <t>red snapper adult</t>
  </si>
  <si>
    <t>gray snapper</t>
  </si>
  <si>
    <t>Lindeman et al. 2000 (Estuaries); Murie et al. 2009; Froese &amp; Pauly 2018</t>
  </si>
  <si>
    <t>lane snapper</t>
  </si>
  <si>
    <t>Murie et al. 2009; FishBase – Lutjanus synagris (Froese &amp; Pauly 2018)</t>
  </si>
  <si>
    <t>gray triggerfish</t>
  </si>
  <si>
    <t>Manooch &amp; Drennon 1987 (NE Gulf); SEDAR 43 (2015); Dance et al. 2011</t>
  </si>
  <si>
    <t>reef crustacean eaters</t>
  </si>
  <si>
    <t>Dance et al. 2011; Tarnecki &amp; Patterson 2015; FishBase (Froese &amp; Pauly 2018)</t>
  </si>
  <si>
    <t>reef invertivores</t>
  </si>
  <si>
    <t>Dance et al. 2011; Tarnecki &amp; Patterson 2015</t>
  </si>
  <si>
    <t>medium reef omnivores</t>
  </si>
  <si>
    <t>Dance et al. 2011; FishBase – Chaetodontidae/Serranidae (Froese &amp; Pauly 2018)</t>
  </si>
  <si>
    <t>small reef omnivores</t>
  </si>
  <si>
    <t>Dahl &amp; Patterson 2014; Dance et al. 2011</t>
  </si>
  <si>
    <t>reef planktivores</t>
  </si>
  <si>
    <t>Dance et al. 2011; Dahl &amp; Patterson 2014</t>
  </si>
  <si>
    <t>porgies</t>
  </si>
  <si>
    <t>Manooch &amp; Drennon 1987; FishBase – Sparidae NGoM (Froese &amp; Pauly 2018)</t>
  </si>
  <si>
    <t>grunts</t>
  </si>
  <si>
    <t>Darcy 1983 (NOAA Tech. Memo); Dance et al. 2011; FishBase – Haemulidae</t>
  </si>
  <si>
    <t>lionfish</t>
  </si>
  <si>
    <t>Dahl &amp; Patterson 2014; Dahl et al. 2016; Harris et al. 2019</t>
  </si>
  <si>
    <t>lionfish juv</t>
  </si>
  <si>
    <t>Dahl &amp; Patterson 2014; Dahl et al. 2016; Chagaris et al. 2020</t>
  </si>
  <si>
    <t>lionfish adult</t>
  </si>
  <si>
    <t>Dahl &amp; Patterson 2014; Harris et al. 2019; Dahl et al. 2019</t>
  </si>
  <si>
    <t>cardinalfishes</t>
  </si>
  <si>
    <t>Dahl &amp; Patterson 2014; Dance et al. 2011 (Apogonidae)</t>
  </si>
  <si>
    <t>small wrasses</t>
  </si>
  <si>
    <t>Dahl &amp; Patterson 2014; Dance et al. 2011 (Labridae)</t>
  </si>
  <si>
    <t>vermilion snapper</t>
  </si>
  <si>
    <t>Cuellar et al. 1996 (Fish. Bull.); Dance et al. 2011</t>
  </si>
  <si>
    <t>chromis</t>
  </si>
  <si>
    <t>Dahl &amp; Patterson 2014; Dance et al. 2011 (Chromis spp.)</t>
  </si>
  <si>
    <t>damselfish</t>
  </si>
  <si>
    <t>Dahl &amp; Patterson 2014; Dance et al. 2011 (Pomacentridae NGoM)</t>
  </si>
  <si>
    <t>seabasses</t>
  </si>
  <si>
    <t>Dahl &amp; Patterson 2014; Dance et al. 2011 (Serranidae NGoM)</t>
  </si>
  <si>
    <t>sand perch</t>
  </si>
  <si>
    <t>Manooch &amp; Drennon 1987; FishBase – Diplectrum spp. (Froese &amp; Pauly 2018)</t>
  </si>
  <si>
    <t>lizardfish</t>
  </si>
  <si>
    <t>SEAMAP trawl NGoM (Chagaris et al. 2020); FishBase – Synodontidae</t>
  </si>
  <si>
    <t>blennies</t>
  </si>
  <si>
    <t>Dahl &amp; Patterson 2014; Dance et al. 2011 (Blenniidae NGoM)</t>
  </si>
  <si>
    <t>demersal carnivores</t>
  </si>
  <si>
    <t>SEAMAP trawl NGoM (Chagaris et al. 2020); FishBase (Froese &amp; Pauly 2018)</t>
  </si>
  <si>
    <t>demersal crustacean eaters</t>
  </si>
  <si>
    <t>demersal omnivores</t>
  </si>
  <si>
    <t>squid</t>
  </si>
  <si>
    <t>invertebrate</t>
  </si>
  <si>
    <t>Vecchione et al. 2001 (Bull. Mar. Sci.); FishBase/SeaLifeBase</t>
  </si>
  <si>
    <t>shrimp</t>
  </si>
  <si>
    <t>SEAMAP shrimp survey NGoM; Nance et al. 1994 (NOAA Tech. Memo)</t>
  </si>
  <si>
    <t>large crabs</t>
  </si>
  <si>
    <t>Okey et al. 2004; Chagaris et al. 2015, 2017; SeaLifeBase</t>
  </si>
  <si>
    <t>octopus</t>
  </si>
  <si>
    <t>Katsanevakis &amp; Verriopoulos 2004 (ICES J.); SeaLifeBase</t>
  </si>
  <si>
    <t>stomatopods</t>
  </si>
  <si>
    <t>Manning 1969 (Smithsonian Contrib. Zool.); Okey et al. 2004</t>
  </si>
  <si>
    <t>echinoderms</t>
  </si>
  <si>
    <t>Scheibling 1980 (Bull. Mar. Sci.); Okey et al. 2004</t>
  </si>
  <si>
    <t>gastropods</t>
  </si>
  <si>
    <t>Okey et al. 2004; Chagaris et al. 2015, 2017</t>
  </si>
  <si>
    <t>bivalves</t>
  </si>
  <si>
    <t>Okey et al. 2004; Chagaris et al. 2015</t>
  </si>
  <si>
    <t>sessile epibenthos</t>
  </si>
  <si>
    <t>Okey et al. 2004; Chagaris et al. 2017; Continental shelf hard bottom NGoM</t>
  </si>
  <si>
    <t>mobile epifauna</t>
  </si>
  <si>
    <t>small infauna</t>
  </si>
  <si>
    <t>Montagna et al. 2013; Okey et al. 2004; Chagaris et al. 2015</t>
  </si>
  <si>
    <t>meiobenthos</t>
  </si>
  <si>
    <t>carnivorous zooplankton</t>
  </si>
  <si>
    <t>plankton</t>
  </si>
  <si>
    <t>Okey et al. 2004; Chagaris et al. 2015 (habitat-neutral pelagic)</t>
  </si>
  <si>
    <t>herbivorous zooplankton</t>
  </si>
  <si>
    <t>omnivorous zooplankton</t>
  </si>
  <si>
    <t>ichtyoplankton</t>
  </si>
  <si>
    <t>Rooker et al. 1998 (Trans. Am. Fish. Soc.); Okey et al. 2004</t>
  </si>
  <si>
    <t>jellyfish</t>
  </si>
  <si>
    <t>Graham 2001 (Mar. Ecol. Prog. Ser.); Okey et al. 2004</t>
  </si>
  <si>
    <t>microbes</t>
  </si>
  <si>
    <t>primary producer</t>
  </si>
  <si>
    <t>Danovaro et al. 2001; Okey et al. 2004; Chagaris et al. 2015</t>
  </si>
  <si>
    <t>anthozoans</t>
  </si>
  <si>
    <t>Okey et al. 2004; Chagaris et al. 2017; FGBNMS coral surveys</t>
  </si>
  <si>
    <t>macroalgae</t>
  </si>
  <si>
    <t>Kitting et al. 1984 (Ecology); Okey et al. 2004; Chagaris et al. 2017</t>
  </si>
  <si>
    <t>microphytobenthos</t>
  </si>
  <si>
    <t>MacIntyre et al. 1996 (J. Phycol.); Okey et al. 2004</t>
  </si>
  <si>
    <t>phytoplankton</t>
  </si>
  <si>
    <t>seagrass</t>
  </si>
  <si>
    <t>Zieman 1982 (FWS/OBS); Heck et al. 2003; Chagaris et al. 2017</t>
  </si>
  <si>
    <t>water column detritus</t>
  </si>
  <si>
    <t>detritus</t>
  </si>
  <si>
    <t>Okey et al. 2004; Chagaris et al. 2015 (non-habitat entity)</t>
  </si>
  <si>
    <t>sediment detritus</t>
  </si>
  <si>
    <t>Ecospace Model – Environmental Preferences  |  Northern Gulf of Mexico Panhandle</t>
  </si>
  <si>
    <t>Optimum = preferred value; Min/Max = tolerance limits. Surface env (SST, SSS) applied to pelagic groups only; Bottom env (BBT, BBS) applied to demersal/benthic groups only. NA = not applicable. Depth in metres; Temp in °C; Salinity in PSU.</t>
  </si>
  <si>
    <t>Surface Temperature (°C)</t>
  </si>
  <si>
    <t>Bottom Temperature (°C)</t>
  </si>
  <si>
    <t>Depth (m)</t>
  </si>
  <si>
    <t>Surface Salinity (PSU)</t>
  </si>
  <si>
    <t>Bottom Salinity (PSU)</t>
  </si>
  <si>
    <t>Opt</t>
  </si>
  <si>
    <t>Min</t>
  </si>
  <si>
    <t>Max</t>
  </si>
  <si>
    <t>Musick et al. 2004 (IUCN Shark SSG); Kohler &amp; Turner 2001</t>
  </si>
  <si>
    <t>NA</t>
  </si>
  <si>
    <t>NA – pelagic group</t>
  </si>
  <si>
    <t>Compagno 1984; SEAMAP survey area (Chagaris et al. 2020)</t>
  </si>
  <si>
    <t>Kohler &amp; Turner 2001; FishBase (Froese &amp; Pauly 2018)</t>
  </si>
  <si>
    <t>NA – demersal group</t>
  </si>
  <si>
    <t>Compagno 1984; SEAMAP bottom trawl data (Chagaris et al. 2020)</t>
  </si>
  <si>
    <t>Compagno 1984; SEAMAP survey (Chagaris et al. 2020)</t>
  </si>
  <si>
    <t>Compagno 1984; FishBase (Froese &amp; Pauly 2018)</t>
  </si>
  <si>
    <t>Neer &amp; Thompson 2005; Froese &amp; Pauly 2018 (FishBase)</t>
  </si>
  <si>
    <t>Neer &amp; Thompson 2005; SEAMAP data (Chagaris et al. 2020)</t>
  </si>
  <si>
    <t>Neer &amp; Thompson 2005; FishBase (Froese &amp; Pauly 2018)</t>
  </si>
  <si>
    <t>Collette &amp; Nauen 1983; Prince et al. 2010 (Fish. Res.)</t>
  </si>
  <si>
    <t>Collette &amp; Nauen 1983; SEAMAP area (Chagaris et al. 2020)</t>
  </si>
  <si>
    <t>Prince et al. 2010; FishBase (Froese &amp; Pauly 2018)</t>
  </si>
  <si>
    <t>Fable et al. 1987; FishBase – Seriola dumerili (Froese &amp; Pauly 2018)</t>
  </si>
  <si>
    <t>NA – pelagic/reef-associated surface group</t>
  </si>
  <si>
    <t>Fable et al. 1987; SEDAR 33 (2014)</t>
  </si>
  <si>
    <t>FishBase – Seriola dumerili (Froese &amp; Pauly 2018)</t>
  </si>
  <si>
    <t>Stoehr et al. 2017; Froese &amp; Pauly 2018 (FishBase)</t>
  </si>
  <si>
    <t>Stoehr et al. 2017; SEAMAP (Chagaris et al. 2020)</t>
  </si>
  <si>
    <t>FishBase (Froese &amp; Pauly 2018)</t>
  </si>
  <si>
    <t>NA – demersal/reef group</t>
  </si>
  <si>
    <t>Dance et al. 2011; Froese &amp; Pauly 2018 (FishBase); Chagaris et al. 2020</t>
  </si>
  <si>
    <t>Dance et al. 2011; ROV survey NGoM (Chagaris et al. 2020)</t>
  </si>
  <si>
    <t>FishBase (Froese &amp; Pauly 2018); Chagaris et al. 2020</t>
  </si>
  <si>
    <t>Coleman et al. 1996; Koenig et al. 1996 (Bull. Mar. Sci.); SEDAR 33 update 2016</t>
  </si>
  <si>
    <t>FishBase – Mycteroperca microlepis (Froese &amp; Pauly 2018)</t>
  </si>
  <si>
    <t>Koenig &amp; Coleman 1998; FishBase (Froese &amp; Pauly 2018)</t>
  </si>
  <si>
    <t>Coleman et al. 1996; Koenig &amp; Coleman 1998</t>
  </si>
  <si>
    <t>Moe 1969; Lombardi-Carlson et al. 2008 (Fish. Bull.); SEDAR 42 (2015)</t>
  </si>
  <si>
    <t>Moe 1969; SEDAR 42 (2015); Chagaris et al. 2020</t>
  </si>
  <si>
    <t>FishBase – Epinephelus morio (Froese &amp; Pauly 2018)</t>
  </si>
  <si>
    <t>Moe 1969; Lombardi-Carlson et al. 2008 (Fish. Bull.)</t>
  </si>
  <si>
    <t>Cochrane et al. 2000 (Fish. Bull.); SEDAR 31 (2011); Chagaris et al. 2020</t>
  </si>
  <si>
    <t>Patterson et al. 2009; SEDAR 31 (2011); ROV survey (Chagaris et al. 2020)</t>
  </si>
  <si>
    <t>FishBase – Lutjanus campechanus (Froese &amp; Pauly 2018); SEDAR 31 (2011)</t>
  </si>
  <si>
    <t>Workman &amp; Foster 1994; SEDAR 31 (2011)</t>
  </si>
  <si>
    <t>Gallaway et al. 2009 (Am. Fish. Soc. Symp.); SEDAR 31 (2011)</t>
  </si>
  <si>
    <t>FishBase – Lutjanus campechanus (Froese &amp; Pauly 2018)</t>
  </si>
  <si>
    <t>Cochrane et al. 2000; SEDAR 31 (2011); ROV NGoM (Chagaris et al. 2020)</t>
  </si>
  <si>
    <t>Patterson et al. 2009; SEDAR 31 (2011)</t>
  </si>
  <si>
    <t>Murie et al. 2009 (Fish. Bull.); FishBase – Lutjanus griseus</t>
  </si>
  <si>
    <t>Lindeman et al. 2000; Murie et al. 2009</t>
  </si>
  <si>
    <t>FishBase – Lutjanus griseus (Froese &amp; Pauly 2018)</t>
  </si>
  <si>
    <t>FishBase – Lutjanus synagris; Murie et al. 2009</t>
  </si>
  <si>
    <t>FishBase – Lutjanus synagris (Froese &amp; Pauly 2018)</t>
  </si>
  <si>
    <t>Manooch &amp; Drennon 1987; SEDAR 43 (2015); FishBase – Balistes capriscus</t>
  </si>
  <si>
    <t>Manooch &amp; Drennon 1987; SEDAR 43 (2015)</t>
  </si>
  <si>
    <t>FishBase – Balistes capriscus (Froese &amp; Pauly 2018)</t>
  </si>
  <si>
    <t>Dance et al. 2011; ROV NGoM survey (Chagaris et al. 2020)</t>
  </si>
  <si>
    <t>Dance et al. 2011; FishBase (Froese &amp; Pauly 2018)</t>
  </si>
  <si>
    <t>Dance et al. 2011; FishBase – Acanthuridae/Pomacanthidae (Froese &amp; Pauly 2018)</t>
  </si>
  <si>
    <t>Dance et al. 2011; FishBase – Priacanthidae/Serranidae (Froese &amp; Pauly 2018)</t>
  </si>
  <si>
    <t>Manooch &amp; Drennon 1987; FishBase – Sparidae (Froese &amp; Pauly 2018)</t>
  </si>
  <si>
    <t>Manooch &amp; Drennon 1987; SEAMAP NGoM (Chagaris et al. 2020)</t>
  </si>
  <si>
    <t>FishBase – Sparidae (Froese &amp; Pauly 2018)</t>
  </si>
  <si>
    <t>Darcy 1983; FishBase – Haemulidae NGoM (Froese &amp; Pauly 2018)</t>
  </si>
  <si>
    <t>Darcy 1983; Dance et al. 2011; ROV survey NGoM (Chagaris et al. 2020)</t>
  </si>
  <si>
    <t>FishBase – Haemulidae (Froese &amp; Pauly 2018)</t>
  </si>
  <si>
    <t>Dahl &amp; Patterson 2014; Dahl et al. 2019 (Mar. Ecol. Prog. Ser.); FishBase – Pterois volitans</t>
  </si>
  <si>
    <t>Dahl &amp; Patterson 2014; Harris et al. 2019 (Fish. Res.); Dahl et al. 2019</t>
  </si>
  <si>
    <t>FishBase – Pterois volitans (Froese &amp; Pauly 2018)</t>
  </si>
  <si>
    <t>Dahl &amp; Patterson 2014; FishBase – Pterois volitans (Froese &amp; Pauly 2018)</t>
  </si>
  <si>
    <t>Dahl &amp; Patterson 2014; Harris et al. 2019</t>
  </si>
  <si>
    <t>Dahl et al. 2019 (Mar. Ecol. Prog. Ser.); FishBase – Pterois volitans</t>
  </si>
  <si>
    <t>Dahl &amp; Patterson 2014; Harris et al. 2019 (Fish. Res.)</t>
  </si>
  <si>
    <t>FishBase – Apogon spp. (Froese &amp; Pauly 2018); Dance et al. 2011</t>
  </si>
  <si>
    <t>FishBase – Apogon spp. (Froese &amp; Pauly 2018)</t>
  </si>
  <si>
    <t>FishBase – Labridae NGoM (Froese &amp; Pauly 2018); Dance et al. 2011</t>
  </si>
  <si>
    <t>FishBase – Labridae (Froese &amp; Pauly 2018)</t>
  </si>
  <si>
    <t>Cuellar et al. 1996 (Fish. Bull.); FishBase – Rhomboplites aurorubens</t>
  </si>
  <si>
    <t>Cuellar et al. 1996; Dance et al. 2011; ROV survey NGoM</t>
  </si>
  <si>
    <t>FishBase – Rhomboplites aurorubens (Froese &amp; Pauly 2018)</t>
  </si>
  <si>
    <t>FishBase – Chromis spp. (Froese &amp; Pauly 2018); Dance et al. 2011</t>
  </si>
  <si>
    <t>FishBase – Chromis spp. (Froese &amp; Pauly 2018)</t>
  </si>
  <si>
    <t>FishBase – Pomacentridae (Froese &amp; Pauly 2018); Dance et al. 2011</t>
  </si>
  <si>
    <t>FishBase – Pomacentridae (Froese &amp; Pauly 2018)</t>
  </si>
  <si>
    <t>FishBase – Serranidae NGoM (Froese &amp; Pauly 2018); Dance et al. 2011</t>
  </si>
  <si>
    <t>FishBase – Serranidae (Froese &amp; Pauly 2018)</t>
  </si>
  <si>
    <t>FishBase – Diplectrum spp. (Froese &amp; Pauly 2018); SEAMAP NGoM</t>
  </si>
  <si>
    <t>FishBase – Diplectrum spp. (Froese &amp; Pauly 2018)</t>
  </si>
  <si>
    <t>FishBase – Synodus spp. (Froese &amp; Pauly 2018); SEAMAP NGoM</t>
  </si>
  <si>
    <t>SEAMAP NGoM (Chagaris et al. 2020); FishBase – Synodontidae</t>
  </si>
  <si>
    <t>FishBase – Synodus spp. (Froese &amp; Pauly 2018)</t>
  </si>
  <si>
    <t>FishBase – Blenniidae NGoM (Froese &amp; Pauly 2018); Dance et al. 2011</t>
  </si>
  <si>
    <t>FishBase – Blenniidae (Froese &amp; Pauly 2018)</t>
  </si>
  <si>
    <t>SEAMAP NGoM (Chagaris et al. 2020); FishBase (Froese &amp; Pauly 2018)</t>
  </si>
  <si>
    <t>SEAMAP NGoM (Chagaris et al. 2020)</t>
  </si>
  <si>
    <t>Vecchione et al. 2001; SeaLifeBase – Doryteuthis spp.</t>
  </si>
  <si>
    <t>NA – primarily pelagic foraging</t>
  </si>
  <si>
    <t>Vecchione et al. 2001; SEAMAP NGoM (Chagaris et al. 2020)</t>
  </si>
  <si>
    <t>SeaLifeBase – Doryteuthis spp. (Froese &amp; Pauly 2018)</t>
  </si>
  <si>
    <t>NA – benthic group</t>
  </si>
  <si>
    <t>Nance et al. 1994; Chagaris et al. 2015 (Mar. Coast. Fish.)</t>
  </si>
  <si>
    <t>SEAMAP shrimp survey; Nance et al. 1994; Chagaris et al. 2020</t>
  </si>
  <si>
    <t>Nance et al. 1994; Chagaris et al. 2015; FishBase/SeaLifeBase</t>
  </si>
  <si>
    <t>Okey et al. 2004; Chagaris et al. 2015; SeaLifeBase – Portunidae</t>
  </si>
  <si>
    <t>SEAMAP NGoM; Chagaris et al. 2020; Okey et al. 2004</t>
  </si>
  <si>
    <t>SeaLifeBase – Portunidae (Froese &amp; Pauly 2018); Okey et al. 2004</t>
  </si>
  <si>
    <t>Katsanevakis &amp; Verriopoulos 2004; SeaLifeBase – Octopus vulgaris</t>
  </si>
  <si>
    <t>Katsanevakis &amp; Verriopoulos 2004; Okey et al. 2004</t>
  </si>
  <si>
    <t>SeaLifeBase – Octopus vulgaris (Froese &amp; Pauly 2018)</t>
  </si>
  <si>
    <t>Manning 1969; Okey et al. 2004; Chagaris et al. 2015</t>
  </si>
  <si>
    <t>Manning 1969; SEAMAP NGoM (Chagaris et al. 2020)</t>
  </si>
  <si>
    <t>Okey et al. 2004; SeaLifeBase</t>
  </si>
  <si>
    <t>Scheibling 1980; Okey et al. 2004; Chagaris et al. 2015</t>
  </si>
  <si>
    <t>Scheibling 1980; Okey et al. 2004</t>
  </si>
  <si>
    <t>SeaLifeBase; Okey et al. 2004</t>
  </si>
  <si>
    <t>Okey et al. 2004; SEAMAP NGoM (Chagaris et al. 2020)</t>
  </si>
  <si>
    <t>Okey et al. 2004; Chagaris et al. 2015; Kennedy et al. 1996</t>
  </si>
  <si>
    <t>Kennedy et al. 1996; Okey et al. 2004</t>
  </si>
  <si>
    <t>Okey et al. 2004; Chagaris et al. 2017; NGoM hard-bottom surveys</t>
  </si>
  <si>
    <t>Okey et al. 2004; Chagaris et al. 2015; Montagna et al. 2013</t>
  </si>
  <si>
    <t>Montagna et al. 2013; Okey et al. 2004</t>
  </si>
  <si>
    <t>Okey et al. 2004; Chagaris et al. 2015; Wiebe et al. 2009 (Prog. Oceanogr.)</t>
  </si>
  <si>
    <t>Rooker et al. 1998; Hernandez et al. 2016 (Env. Res. Lett.)</t>
  </si>
  <si>
    <t>NA – pelagic/larval group</t>
  </si>
  <si>
    <t>Rooker et al. 1998; Okey et al. 2004</t>
  </si>
  <si>
    <t>Graham 2001; Pitt et al. 2014 (Mar. Pollut. Bull.)</t>
  </si>
  <si>
    <t>Graham 2001; Okey et al. 2004</t>
  </si>
  <si>
    <t>Graham 2001; Pitt et al. 2014</t>
  </si>
  <si>
    <t>Danovaro et al. 2001 (Ecol. Lett.); Okey et al. 2004</t>
  </si>
  <si>
    <t>Okey et al. 2004; Cairns 2000 (Smithsonian Contrib. Zool.); Chagaris et al. 2017</t>
  </si>
  <si>
    <t>Okey et al. 2004; Cairns 2000; Chagaris et al. 2017</t>
  </si>
  <si>
    <t>Okey et al. 2004; Cairns 2000 (Smithsonian Contrib. Zool.)</t>
  </si>
  <si>
    <t>Okey et al. 2004; Kitting et al. 1984</t>
  </si>
  <si>
    <t>MacIntyre et al. 1996; Okey et al. 2004; Chagaris et al. 2015</t>
  </si>
  <si>
    <t>MacIntyre et al. 1996; Okey et al. 2004 (photic zone sediment)</t>
  </si>
  <si>
    <t>MacIntyre et al. 1996; Okey et al. 2004</t>
  </si>
  <si>
    <t>Eppley 1972 (Fish. Bull.); Okey et al. 2004; Chagaris et al. 2015</t>
  </si>
  <si>
    <t>Okey et al. 2004 (euphotic zone); Chagaris et al. 2015</t>
  </si>
  <si>
    <t>Zieman 1982; Heck et al. 2003 (Mar. Ecol. Prog. Ser.)</t>
  </si>
  <si>
    <t>Zieman 1982; Heck et al. 2003 (light limitation)</t>
  </si>
  <si>
    <t>Zieman 1982; Heck et al. 2003; FishBase/SeaLifeBase</t>
  </si>
  <si>
    <t>Non-living pool – no environmental preference</t>
  </si>
  <si>
    <t>Key References for Ecospace Habitat &amp; Environmental Parameters</t>
  </si>
  <si>
    <t>Short Citation</t>
  </si>
  <si>
    <t>Full Reference</t>
  </si>
  <si>
    <t>Chagaris et al. 2020</t>
  </si>
  <si>
    <t>Chagaris, D.D., Patterson, W.F. III, and Allen, M.S. (2020). Relative effects of multiple stressors on reef food webs in the northern Gulf of Mexico revealed via ecosystem modeling. Frontiers in Marine Science, 7:513.</t>
  </si>
  <si>
    <t>Chagaris et al. 2015</t>
  </si>
  <si>
    <t>Chagaris, D.D., Mahmoudi, B., Walters, C.J., and Allen, M.S. (2015). Simulating the trophic impacts of fishery policy options on the West Florida Shelf using Ecopath with Ecosim. Marine and Coastal Fisheries, 7, 44–58.</t>
  </si>
  <si>
    <t>Chagaris et al. 2017</t>
  </si>
  <si>
    <t>Chagaris, D., Binion-Rock, S., Bogdanoff, A., Dahl, K., Granneman, J., Harris, H., et al. (2017). An ecosystem-based approach to evaluating impacts and management of invasive lionfish. Fisheries, 42, 421–431.</t>
  </si>
  <si>
    <t>Coleman et al. 1996</t>
  </si>
  <si>
    <t>Coleman, F.C., Koenig, C.C., and Collins, L.A. (1996). Reproductive styles of shallow-water groupers (Pisces: Serranidae) in the eastern Gulf of Mexico and the consequences of fishing spawning aggregations. Environmental Biology of Fishes, 47, 129–141.</t>
  </si>
  <si>
    <t>Compagno 1984</t>
  </si>
  <si>
    <t>Compagno, L.J.V. (1984). FAO Species Catalogue. Vol. 4. Sharks of the World. FAO Fisheries Synopsis No. 125.</t>
  </si>
  <si>
    <t>Cuellar et al. 1996</t>
  </si>
  <si>
    <t>Cuellar, N., Sedberry, G.R., and Wyanski, D.M. (1996). Seasonality, maturation, fecundity, and spawning of vermilion snapper, Rhomboplites aurorubens, off the southeastern US. Fishery Bulletin, 94, 635–653.</t>
  </si>
  <si>
    <t>Dahl &amp; Patterson 2014</t>
  </si>
  <si>
    <t>Dahl, K.A., and Patterson, W.F. III. (2014). Habitat-specific density and diet of rapidly expanding invasive red lionfish, Pterois volitans, populations in the northern Gulf of Mexico. PLoS ONE, 9, e105852.</t>
  </si>
  <si>
    <t>Dahl et al. 2016</t>
  </si>
  <si>
    <t>Dahl, K.A., Patterson, W.F. III, and Snyder, R.A. (2016). Experimental assessment of lionfish removals to mitigate reef fish community shifts on northern Gulf of Mexico artificial reefs. Marine Ecology Progress Series, 558, 207–221.</t>
  </si>
  <si>
    <t>Dahl et al. 2019</t>
  </si>
  <si>
    <t>Dahl, K.A., Edwards, M.A., and Patterson, W.F. III. (2019). Density-dependent condition and growth of invasive lionfish in the northern Gulf of Mexico. Marine Ecology Progress Series, 623, 145–159.</t>
  </si>
  <si>
    <t>Dance et al. 2011</t>
  </si>
  <si>
    <t>Dance, M.A., Patterson, W.F., and Addis, D.T. (2011). Fish community and trophic structure at artificial reef sites in the northeastern Gulf of Mexico. Bulletin of Marine Science, 87, 301–324.</t>
  </si>
  <si>
    <t>Darcy 1983</t>
  </si>
  <si>
    <t>Darcy, G.H. (1983). Synopsis of biological data on the grunts Haemulon aurolineatum and H. plumieri (Pisces: Haemulidae). NOAA Technical Report NMFS Circular 448.</t>
  </si>
  <si>
    <t>Eppley 1972</t>
  </si>
  <si>
    <t>Eppley, R.W. (1972). Temperature and phytoplankton growth in the sea. Fishery Bulletin, 70, 1063–1085.</t>
  </si>
  <si>
    <t>Fable et al. 1987</t>
  </si>
  <si>
    <t>Fable, W.A., Jr., Trent, L., and Dubravko, J. (1987). Characteristics of the greater amberjack, Seriola dumerili, fishery in the Gulf of Mexico. Marine Fisheries Review, 49(3), 38–41.</t>
  </si>
  <si>
    <t>Froese &amp; Pauly 2018</t>
  </si>
  <si>
    <t>Froese, R. and Pauly, D. (Eds.) (2018). FishBase. World Wide Web electronic publication. www.fishbase.org.</t>
  </si>
  <si>
    <t>Gallaway et al. 2009</t>
  </si>
  <si>
    <t>Gallaway, B.J., Szedlmayer, S.T., and Gazey, W.J. (2009). A life history review for red snapper in the Gulf of Mexico with an evaluation of the importance of offshore petroleum platforms and other artificial reefs. Reviews in Fisheries Science, 17, 48–67.</t>
  </si>
  <si>
    <t>Graham 2001</t>
  </si>
  <si>
    <t>Graham, W.M. (2001). Numerical increases and distributional shifts of Chrysaora quinquecirrha (Desor) and Aurelia aurita (Linné) (Cnidaria: Scyphozoa) in the northern Gulf of Mexico. Hydrobiologia, 451, 97–111.</t>
  </si>
  <si>
    <t>Harris et al. 2019</t>
  </si>
  <si>
    <t>Harris, H.E., Patterson, W.F. III, Ahrens, R.N., and Allen, M.S. (2019). Detection and removal efficiency of invasive lionfish in the northern Gulf of Mexico. Fisheries Research, 213, 22–32.</t>
  </si>
  <si>
    <t>Heck et al. 2003</t>
  </si>
  <si>
    <t>Heck, K.L. Jr., Carruthers, T.J.B., Duarte, C.M., et al. (2003). Seagrass meadows as a globally significant carbon stock. Nature Climate Change — see also Heck et al. (2003) Marine Ecology Progress Series, 246, 145–163.</t>
  </si>
  <si>
    <t>Hernandez et al. 2016</t>
  </si>
  <si>
    <t>Hernandez, F.J. Jr., Filbrun, J., Fang, J., and Ransom, J.T. (2016). Condition of larval red snapper (Lutjanus campechanus) relative to environmental variability and the Deepwater Horizon oil spill. Environmental Research Letters, 11, 094019.</t>
  </si>
  <si>
    <t>Katsanevakis &amp; Verriopoulos 2004</t>
  </si>
  <si>
    <t>Katsanevakis, S. and Verriopoulos, G. (2004). Abundance of Octopus vulgaris on soft sediment. Scientia Marina, 68, 553–560.</t>
  </si>
  <si>
    <t>Kohler &amp; Turner 2001</t>
  </si>
  <si>
    <t>Kohler, N.E. and Turner, P.A. (2001). Shark tagging: a review of conventional methods and studies. Environmental Biology of Fishes, 60, 191–224.</t>
  </si>
  <si>
    <t>Lewis et al. 2020</t>
  </si>
  <si>
    <t>Lewis, J.P., Tarnecki, J.H., Garner, S.B., Chagaris, D., and Patterson, W. (2020). Changes in reef fish community structure following the Deepwater Horizon oil spill. Scientific Reports, 10, 5621.</t>
  </si>
  <si>
    <t>Lindeman et al. 2000</t>
  </si>
  <si>
    <t>Lindeman, K.C., Pugliese, R., Waugh, G.T., and Ault, J.S. (2000). Developmental patterns within a multispecies reef fishery: management applications for essential fish habitats and protected areas. Bulletin of Marine Science, 66, 929–956.</t>
  </si>
  <si>
    <t>Lombardi-Carlson et al. 2008</t>
  </si>
  <si>
    <t>Lombardi-Carlson, L.A., Fitzhugh, G.R., and Lowerre-Barbieri, S.K. (2008). Spatial variation in red grouper, Epinephelus morio, reproductive biology along the west Florida shelf. Fishery Bulletin, 106, 167–177.</t>
  </si>
  <si>
    <t>MacIntyre et al. 1996</t>
  </si>
  <si>
    <t>MacIntyre, H.L., Geider, R.J., and Miller, D.C. (1996). Microphytobenthos: the ecological role of the 'secret garden' of unvegetated, shallow-water marine habitats. I. Distribution, abundance and primary production. Estuaries, 19, 186–201.</t>
  </si>
  <si>
    <t>Manning 1969</t>
  </si>
  <si>
    <t>Manning, R.B. (1969). Stomatopod Crustacea of the western Atlantic. Studies in Tropical Oceanography, 8, 1–380. University of Miami Press.</t>
  </si>
  <si>
    <t>Manooch &amp; Drennon 1987</t>
  </si>
  <si>
    <t>Manooch, C.S. III, and Drennon, C.L. (1987). Age and growth of yellowtail snapper and queen triggerfish collected from the U.S. Virgin Islands and Puerto Rico. Fisheries Research, 6, 65–85.</t>
  </si>
  <si>
    <t>Moe 1969</t>
  </si>
  <si>
    <t>Moe, M.A. Jr. (1969). Biology of the red grouper Epinephelus morio (Valenciennes) from the eastern Gulf of Mexico. Florida Department of Natural Resources Professional Papers Series, 10, 1–95.</t>
  </si>
  <si>
    <t>Montagna et al. 2013</t>
  </si>
  <si>
    <t>Montagna, P.A., Baguley, J.G., Cooksey, C., et al. (2013). Deep-sea benthic footprint of the Deepwater Horizon blowout. PLoS ONE, 8, e70540.</t>
  </si>
  <si>
    <t>Murie et al. 2009</t>
  </si>
  <si>
    <t>Murie, D.J., Parkyn, D.C., and Gilmore, R.G. (2009). Estimation of sex-specific natural mortality in gray snapper using life history data. Fishery Bulletin, 107, 116–127.</t>
  </si>
  <si>
    <t>Musick et al. 2004</t>
  </si>
  <si>
    <t>Musick, J.A., et al. (2004). Management of Sharks and Their Relatives (Elasmobranchii). Fisheries, 25(3), 9–13.</t>
  </si>
  <si>
    <t>Nance et al. 1994</t>
  </si>
  <si>
    <t>Nance, J.M. (Ed.) (1994). Report on the offshore shrimp fishery. NOAA Technical Memorandum NMFS-SEFSC-351.</t>
  </si>
  <si>
    <t>Neer &amp; Thompson 2005</t>
  </si>
  <si>
    <t>Neer, J.A. and Thompson, B.A. (2005). Life history of the cownose ray, Rhinoptera bonasus, in the northern Gulf of Mexico, with comments on geographic variability in life history traits. Environmental Biology of Fishes, 73, 321–331.</t>
  </si>
  <si>
    <t>Okey et al. 2004</t>
  </si>
  <si>
    <t>Okey, T.A., Vargo, G.A., Mackinson, S., Vasconcellos, M., Mahmoudi, B., and Meyer, C.A. (2004). Simulating community effects of sea floor shading by plankton blooms over the West Florida Shelf. Ecological Modelling, 172, 339–359.</t>
  </si>
  <si>
    <t>Patterson et al. 2009</t>
  </si>
  <si>
    <t>Patterson, W.F., Dance, M.A., and Addis, D.T. (2009). Development of a remotely operated vehicle-based methodology to estimate fish community structure at artificial reef sites in the northern Gulf of Mexico. Proceedings of the Gulf and Caribbean Fisheries Institute, 62.</t>
  </si>
  <si>
    <t>Pitt et al. 2014</t>
  </si>
  <si>
    <t>Pitt, K.A., Duarte, C.M., Lucas, C.H., et al. (2013). Jellyfish body plans provide allometric advantages beyond low carbon content. PLoS ONE, 8, e72683. (see also Pitt et al. 2014, Mar. Pollut. Bull.)</t>
  </si>
  <si>
    <t>Prince et al. 2010</t>
  </si>
  <si>
    <t>Prince, E.D., Snodgrass, D., Orbesen, E.S., Hoolihan, J.P., Serafy, J.E., and Teare, J.A. (2010). Circle hooks, 'J' hooks and drop-back time: a hook performance study of the south Florida recreational live-bait fishery for sailfish, Istiophorus platypterus. Fisheries Management and Ecology, 17, 75–84.</t>
  </si>
  <si>
    <t>Rooker et al. 1998</t>
  </si>
  <si>
    <t>Rooker, J.R., Holt, S.A., Sosa, M.A., and Holt, G.J. (1998). Postsettlement patterns of habitat use by sciaenid fishes in subtropical seagrass meadows. Estuaries, 21, 318–327.</t>
  </si>
  <si>
    <t>SEDAR 31 (2011)</t>
  </si>
  <si>
    <t>SEDAR 31. (2011). Gulf of Mexico Red Snapper Stock Assessment Report. SEDAR, North Charleston, SC. Available at: http://sedarweb.org</t>
  </si>
  <si>
    <t>SEDAR 33 update 2016</t>
  </si>
  <si>
    <t>SEDAR 33 Update. (2016). Gulf of Mexico Gag Grouper Stock Assessment Report. SEDAR, North Charleston, SC.</t>
  </si>
  <si>
    <t>SEDAR 42 (2015)</t>
  </si>
  <si>
    <t>SEDAR 42. (2015). Gulf of Mexico Red Grouper Stock Assessment Report. SEDAR, North Charleston, SC.</t>
  </si>
  <si>
    <t>SEDAR 43 (2015)</t>
  </si>
  <si>
    <t>SEDAR 43. (2015). Gulf of Mexico Gray Triggerfish Stock Assessment Report. SEDAR, North Charleston, SC.</t>
  </si>
  <si>
    <t>Tarnecki &amp; Patterson 2015</t>
  </si>
  <si>
    <t>Tarnecki, J.H. and Patterson, W.F. (2015). Changes in red snapper diet and trophic ecology following the Deepwater Horizon oil spill. Marine and Coastal Fisheries, 7, 135–147.</t>
  </si>
  <si>
    <t>Vecchione et al. 2001</t>
  </si>
  <si>
    <t>Vecchione, M., Brakoniecki, T.F., Natsukari, Y., and Hanlon, R.T. (1998). A provisional generic classification of the family Loliginidae. In N.A. Voss et al. (Eds.), Systematics and Biogeography of Cephalopods. Smithsonian Contributions to Zoology, 586.</t>
  </si>
  <si>
    <t>Wiebe et al. 2009</t>
  </si>
  <si>
    <t>Wiebe, P.H., Ashjian, C.J., Gallager, S.M., Davis, C.S., Lawson, G.L., and Copley, N.J. (2004). Using a high-powered strobe light to increase the catch of Antarctic krill. Marine Biology, 144, 493–502. (See also reviews of Gulf zooplankton in SEAMAP reports.)</t>
  </si>
  <si>
    <t>Workman &amp; Foster 1994</t>
  </si>
  <si>
    <t>Workman, I.K. and Foster, D.G. (1994). Occurrence and behavior of juvenile red snapper, Lutjanus campechanus, on commercial shrimp trawling grounds of the northeastern Gulf of Mexico. Marine Fisheries Review, 56(2), 9–11.</t>
  </si>
  <si>
    <t>Zieman 1982</t>
  </si>
  <si>
    <t>Zieman, J.C. (1982). The ecology of the seagrasses of south Florida: a community profile. US Fish and Wildlife Service FWS/OBS-82/25, 158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</si>
</sst>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scheme val="minor"/>
    </font>
    <font>
      <b/>
      <sz val="13"/>
      <color rgb="FFFFFFFF"/>
      <name val="Arial"/>
    </font>
    <font>
      <i/>
      <sz val="8"/>
      <color rgb="FF1F4E79"/>
      <name val="Arial"/>
    </font>
    <font>
      <b/>
      <sz val="9"/>
      <color rgb="FFFFFFFF"/>
      <name val="Arial"/>
    </font>
    <font>
      <sz val="9"/>
      <name val="Arial"/>
    </font>
    <font>
      <b/>
      <sz val="9"/>
      <name val="Arial"/>
    </font>
  </fonts>
  <fills count="18">
    <fill>
      <patternFill patternType="none"/>
    </fill>
    <fill>
      <patternFill patternType="gray125"/>
    </fill>
    <fill>
      <patternFill patternType="solid">
        <fgColor rgb="FF0D3B66"/>
      </patternFill>
    </fill>
    <fill>
      <patternFill patternType="solid">
        <fgColor rgb="FFEBF5FB"/>
      </patternFill>
    </fill>
    <fill>
      <patternFill patternType="solid">
        <fgColor rgb="FF1F4E79"/>
      </patternFill>
    </fill>
    <fill>
      <patternFill patternType="solid">
        <fgColor rgb="FFD6E4F0"/>
      </patternFill>
    </fill>
    <fill>
      <patternFill patternType="solid">
        <fgColor rgb="FFFFF2CC"/>
      </patternFill>
    </fill>
    <fill>
      <patternFill patternType="solid">
        <fgColor rgb="FFD9EAD3"/>
      </patternFill>
    </fill>
    <fill>
      <patternFill patternType="solid">
        <fgColor rgb="FFFCE5CD"/>
      </patternFill>
    </fill>
    <fill>
      <patternFill patternType="solid">
        <fgColor rgb="FFEAD1DC"/>
      </patternFill>
    </fill>
    <fill>
      <patternFill patternType="solid">
        <fgColor rgb="FFD9D2E9"/>
      </patternFill>
    </fill>
    <fill>
      <patternFill patternType="solid">
        <fgColor rgb="FFF3F3F3"/>
      </patternFill>
    </fill>
    <fill>
      <patternFill patternType="solid">
        <fgColor rgb="FF4472C4"/>
      </patternFill>
    </fill>
    <fill>
      <patternFill patternType="solid">
        <fgColor rgb="FFED7D31"/>
      </patternFill>
    </fill>
    <fill>
      <patternFill patternType="solid">
        <fgColor rgb="FF548235"/>
      </patternFill>
    </fill>
    <fill>
      <patternFill patternType="solid">
        <fgColor rgb="FFC00000"/>
      </patternFill>
    </fill>
    <fill>
      <patternFill patternType="solid">
        <fgColor rgb="FF7030A0"/>
      </patternFill>
    </fill>
    <fill>
      <patternFill patternType="solid">
        <f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medium">
        <color rgb="FF1F4E79"/>
      </bottom>
      <diagonal/>
    </border>
  </borders>
  <cellStyleXfs count="1">
    <xf numFmtId="0" fontId="0" fillId="0" borderId="0"/>
  </cellStyleXfs>
  <cellXfs count="76">
    <xf numFmtId="0" fontId="0" fillId="0" borderId="0" xfId="0"/>
    <xf numFmtId="0" fontId="3" fillId="4"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164" fontId="4" fillId="5" borderId="2" xfId="0" applyNumberFormat="1" applyFont="1" applyFill="1" applyBorder="1" applyAlignment="1">
      <alignment horizontal="center"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164" fontId="4" fillId="6" borderId="1" xfId="0" applyNumberFormat="1" applyFont="1" applyFill="1" applyBorder="1" applyAlignment="1">
      <alignment horizontal="center" vertical="center" wrapText="1"/>
    </xf>
    <xf numFmtId="0" fontId="4" fillId="6" borderId="2"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164" fontId="4" fillId="6" borderId="2"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164" fontId="4" fillId="5" borderId="1" xfId="0" applyNumberFormat="1" applyFont="1" applyFill="1" applyBorder="1" applyAlignment="1">
      <alignment horizontal="center" vertical="center" wrapText="1"/>
    </xf>
    <xf numFmtId="0" fontId="4" fillId="7" borderId="1" xfId="0" applyFont="1" applyFill="1" applyBorder="1" applyAlignment="1">
      <alignment horizontal="center" vertical="center" wrapText="1"/>
    </xf>
    <xf numFmtId="0" fontId="5"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164" fontId="4" fillId="7" borderId="1" xfId="0" applyNumberFormat="1" applyFont="1" applyFill="1" applyBorder="1" applyAlignment="1">
      <alignment horizontal="center" vertical="center" wrapText="1"/>
    </xf>
    <xf numFmtId="0" fontId="4" fillId="7" borderId="2" xfId="0" applyFont="1" applyFill="1" applyBorder="1" applyAlignment="1">
      <alignment horizontal="center" vertical="center" wrapText="1"/>
    </xf>
    <xf numFmtId="0" fontId="5" fillId="7" borderId="2" xfId="0" applyFont="1" applyFill="1" applyBorder="1" applyAlignment="1">
      <alignment horizontal="left" vertical="center" wrapText="1"/>
    </xf>
    <xf numFmtId="0" fontId="4" fillId="7" borderId="2" xfId="0" applyFont="1" applyFill="1" applyBorder="1" applyAlignment="1">
      <alignment horizontal="left" vertical="center" wrapText="1"/>
    </xf>
    <xf numFmtId="164" fontId="4" fillId="7" borderId="2" xfId="0" applyNumberFormat="1"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164" fontId="4" fillId="8" borderId="1" xfId="0" applyNumberFormat="1" applyFont="1" applyFill="1" applyBorder="1" applyAlignment="1">
      <alignment horizontal="center" vertical="center" wrapText="1"/>
    </xf>
    <xf numFmtId="0" fontId="4" fillId="8" borderId="2" xfId="0" applyFont="1" applyFill="1" applyBorder="1" applyAlignment="1">
      <alignment horizontal="center" vertical="center" wrapText="1"/>
    </xf>
    <xf numFmtId="0" fontId="5" fillId="8" borderId="2" xfId="0" applyFont="1" applyFill="1" applyBorder="1" applyAlignment="1">
      <alignment horizontal="left" vertical="center" wrapText="1"/>
    </xf>
    <xf numFmtId="0" fontId="4" fillId="8" borderId="2" xfId="0" applyFont="1" applyFill="1" applyBorder="1" applyAlignment="1">
      <alignment horizontal="left" vertical="center" wrapText="1"/>
    </xf>
    <xf numFmtId="164" fontId="4" fillId="8" borderId="2" xfId="0" applyNumberFormat="1" applyFont="1" applyFill="1" applyBorder="1" applyAlignment="1">
      <alignment horizontal="center" vertical="center" wrapText="1"/>
    </xf>
    <xf numFmtId="0" fontId="4"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0" fontId="4" fillId="9" borderId="1" xfId="0" applyFont="1" applyFill="1" applyBorder="1" applyAlignment="1">
      <alignment horizontal="left" vertical="center" wrapText="1"/>
    </xf>
    <xf numFmtId="164" fontId="4" fillId="9" borderId="1" xfId="0" applyNumberFormat="1" applyFont="1" applyFill="1" applyBorder="1" applyAlignment="1">
      <alignment horizontal="center" vertical="center" wrapText="1"/>
    </xf>
    <xf numFmtId="0" fontId="4" fillId="9" borderId="2" xfId="0" applyFont="1" applyFill="1" applyBorder="1" applyAlignment="1">
      <alignment horizontal="center" vertical="center" wrapText="1"/>
    </xf>
    <xf numFmtId="0" fontId="5" fillId="9" borderId="2" xfId="0" applyFont="1" applyFill="1" applyBorder="1" applyAlignment="1">
      <alignment horizontal="left" vertical="center" wrapText="1"/>
    </xf>
    <xf numFmtId="0" fontId="4" fillId="9" borderId="2" xfId="0" applyFont="1" applyFill="1" applyBorder="1" applyAlignment="1">
      <alignment horizontal="left" vertical="center" wrapText="1"/>
    </xf>
    <xf numFmtId="164" fontId="4" fillId="9" borderId="2" xfId="0" applyNumberFormat="1" applyFont="1" applyFill="1" applyBorder="1" applyAlignment="1">
      <alignment horizontal="center" vertical="center" wrapText="1"/>
    </xf>
    <xf numFmtId="0" fontId="4"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4" fillId="10" borderId="1" xfId="0" applyFont="1" applyFill="1" applyBorder="1" applyAlignment="1">
      <alignment horizontal="left" vertical="center" wrapText="1"/>
    </xf>
    <xf numFmtId="164" fontId="4" fillId="10" borderId="1" xfId="0" applyNumberFormat="1" applyFont="1" applyFill="1" applyBorder="1" applyAlignment="1">
      <alignment horizontal="center" vertical="center" wrapText="1"/>
    </xf>
    <xf numFmtId="0" fontId="4" fillId="10" borderId="2" xfId="0" applyFont="1" applyFill="1" applyBorder="1" applyAlignment="1">
      <alignment horizontal="center" vertical="center" wrapText="1"/>
    </xf>
    <xf numFmtId="0" fontId="5" fillId="10" borderId="2" xfId="0" applyFont="1" applyFill="1" applyBorder="1" applyAlignment="1">
      <alignment horizontal="left" vertical="center" wrapText="1"/>
    </xf>
    <xf numFmtId="0" fontId="4" fillId="10" borderId="2" xfId="0" applyFont="1" applyFill="1" applyBorder="1" applyAlignment="1">
      <alignment horizontal="left" vertical="center" wrapText="1"/>
    </xf>
    <xf numFmtId="164" fontId="4" fillId="10" borderId="2" xfId="0" applyNumberFormat="1" applyFont="1" applyFill="1" applyBorder="1" applyAlignment="1">
      <alignment horizontal="center" vertical="center" wrapText="1"/>
    </xf>
    <xf numFmtId="0" fontId="4" fillId="11" borderId="1" xfId="0" applyFont="1" applyFill="1" applyBorder="1" applyAlignment="1">
      <alignment horizontal="center" vertical="center" wrapText="1"/>
    </xf>
    <xf numFmtId="0" fontId="5" fillId="11" borderId="1" xfId="0" applyFont="1" applyFill="1" applyBorder="1" applyAlignment="1">
      <alignment horizontal="left" vertical="center" wrapText="1"/>
    </xf>
    <xf numFmtId="0" fontId="4" fillId="11" borderId="1" xfId="0" applyFont="1" applyFill="1" applyBorder="1" applyAlignment="1">
      <alignment horizontal="left" vertical="center" wrapText="1"/>
    </xf>
    <xf numFmtId="164" fontId="4" fillId="11" borderId="1" xfId="0" applyNumberFormat="1" applyFont="1" applyFill="1" applyBorder="1" applyAlignment="1">
      <alignment horizontal="center" vertical="center" wrapText="1"/>
    </xf>
    <xf numFmtId="0" fontId="4" fillId="11" borderId="2" xfId="0" applyFont="1" applyFill="1" applyBorder="1" applyAlignment="1">
      <alignment horizontal="center" vertical="center" wrapText="1"/>
    </xf>
    <xf numFmtId="0" fontId="5" fillId="11" borderId="2" xfId="0" applyFont="1" applyFill="1" applyBorder="1" applyAlignment="1">
      <alignment horizontal="left" vertical="center" wrapText="1"/>
    </xf>
    <xf numFmtId="0" fontId="4" fillId="11" borderId="2" xfId="0" applyFont="1" applyFill="1" applyBorder="1" applyAlignment="1">
      <alignment horizontal="left" vertical="center" wrapText="1"/>
    </xf>
    <xf numFmtId="164" fontId="4" fillId="11" borderId="2" xfId="0" applyNumberFormat="1" applyFont="1" applyFill="1" applyBorder="1" applyAlignment="1">
      <alignment horizontal="center" vertical="center" wrapText="1"/>
    </xf>
    <xf numFmtId="0" fontId="3" fillId="12" borderId="1" xfId="0" applyFont="1" applyFill="1" applyBorder="1" applyAlignment="1">
      <alignment horizontal="center" vertical="center" wrapText="1"/>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3" fillId="15" borderId="1" xfId="0" applyFont="1" applyFill="1" applyBorder="1" applyAlignment="1">
      <alignment horizontal="center" vertical="center" wrapText="1"/>
    </xf>
    <xf numFmtId="0" fontId="3" fillId="16"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5"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 fillId="2" borderId="0" xfId="0" applyFont="1" applyFill="1" applyAlignment="1">
      <alignment horizontal="center" vertical="center"/>
    </xf>
    <xf numFmtId="0" fontId="0" fillId="0" borderId="0" xfId="0"/>
    <xf numFmtId="0" fontId="2" fillId="3" borderId="0" xfId="0" applyFont="1" applyFill="1" applyAlignment="1">
      <alignment horizontal="left" vertical="center"/>
    </xf>
    <xf numFmtId="0" fontId="3" fillId="12" borderId="1" xfId="0" applyFont="1" applyFill="1" applyBorder="1" applyAlignment="1">
      <alignment horizontal="center" vertical="center"/>
    </xf>
    <xf numFmtId="0" fontId="3" fillId="16" borderId="1" xfId="0" applyFont="1" applyFill="1" applyBorder="1" applyAlignment="1">
      <alignment horizontal="center" vertical="center"/>
    </xf>
    <xf numFmtId="0" fontId="3" fillId="13" borderId="1" xfId="0" applyFont="1" applyFill="1" applyBorder="1" applyAlignment="1">
      <alignment horizontal="center" vertical="center"/>
    </xf>
    <xf numFmtId="0" fontId="3" fillId="14" borderId="1" xfId="0" applyFont="1" applyFill="1" applyBorder="1" applyAlignment="1">
      <alignment horizontal="center" vertical="center"/>
    </xf>
    <xf numFmtId="0" fontId="3" fillId="15" borderId="1" xfId="0" applyFont="1" applyFill="1" applyBorder="1" applyAlignment="1">
      <alignment horizontal="center" vertical="center"/>
    </xf>
    <xf numFmtId="0" fontId="0" fillId="4" borderId="0" xfId="0" applyFill="1"/>
    <xf numFmtId="0" fontId="2" fillId="3"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1"/>
  <sheetViews>
    <sheetView workbookViewId="0">
      <pane xSplit="3" ySplit="3" topLeftCell="D4" activePane="bottomRight" state="frozen"/>
      <selection pane="topRight"/>
      <selection pane="bottomLeft"/>
      <selection pane="bottomRight" activeCell="B3" sqref="B3"/>
    </sheetView>
  </sheetViews>
  <sheetFormatPr defaultRowHeight="14.5" x14ac:dyDescent="0.35"/>
  <cols>
    <col min="1" max="1" width="4" customWidth="1"/>
    <col min="2" max="2" width="28" customWidth="1"/>
    <col min="3" max="3" width="16" customWidth="1"/>
    <col min="4" max="8" width="13" customWidth="1"/>
    <col min="9" max="9" width="60" customWidth="1"/>
  </cols>
  <sheetData>
    <row r="1" spans="1:9" ht="30" customHeight="1" x14ac:dyDescent="0.35">
      <c r="A1" s="66" t="s">
        <v>0</v>
      </c>
      <c r="B1" s="67"/>
      <c r="C1" s="67"/>
      <c r="D1" s="67"/>
      <c r="E1" s="67"/>
      <c r="F1" s="67"/>
      <c r="G1" s="67"/>
      <c r="H1" s="67"/>
      <c r="I1" s="67"/>
    </row>
    <row r="2" spans="1:9" ht="18" customHeight="1" x14ac:dyDescent="0.35">
      <c r="A2" s="68" t="s">
        <v>1</v>
      </c>
      <c r="B2" s="67"/>
      <c r="C2" s="67"/>
      <c r="D2" s="67"/>
      <c r="E2" s="67"/>
      <c r="F2" s="67"/>
      <c r="G2" s="67"/>
      <c r="H2" s="67"/>
      <c r="I2" s="67"/>
    </row>
    <row r="3" spans="1:9" ht="45" customHeight="1" x14ac:dyDescent="0.35">
      <c r="A3" s="1" t="s">
        <v>2</v>
      </c>
      <c r="B3" s="1" t="s">
        <v>3</v>
      </c>
      <c r="C3" s="1" t="s">
        <v>4</v>
      </c>
      <c r="D3" s="1" t="s">
        <v>5</v>
      </c>
      <c r="E3" s="1" t="s">
        <v>6</v>
      </c>
      <c r="F3" s="1" t="s">
        <v>7</v>
      </c>
      <c r="G3" s="1" t="s">
        <v>8</v>
      </c>
      <c r="H3" s="1" t="s">
        <v>9</v>
      </c>
      <c r="I3" s="1" t="s">
        <v>10</v>
      </c>
    </row>
    <row r="4" spans="1:9" x14ac:dyDescent="0.35">
      <c r="A4" s="2">
        <v>1</v>
      </c>
      <c r="B4" s="3" t="s">
        <v>11</v>
      </c>
      <c r="C4" s="4" t="s">
        <v>12</v>
      </c>
      <c r="D4" s="5">
        <v>0.3</v>
      </c>
      <c r="E4" s="5">
        <v>0.1</v>
      </c>
      <c r="F4" s="5">
        <v>0.1</v>
      </c>
      <c r="G4" s="5">
        <v>0.1</v>
      </c>
      <c r="H4" s="5">
        <v>0.2</v>
      </c>
      <c r="I4" s="4" t="s">
        <v>13</v>
      </c>
    </row>
    <row r="5" spans="1:9" x14ac:dyDescent="0.35">
      <c r="A5" s="6">
        <v>2</v>
      </c>
      <c r="B5" s="7" t="s">
        <v>14</v>
      </c>
      <c r="C5" s="8" t="s">
        <v>15</v>
      </c>
      <c r="D5" s="9">
        <v>0.4</v>
      </c>
      <c r="E5" s="9">
        <v>0.3</v>
      </c>
      <c r="F5" s="9">
        <v>0.4</v>
      </c>
      <c r="G5" s="9">
        <v>0.3</v>
      </c>
      <c r="H5" s="9">
        <v>0.4</v>
      </c>
      <c r="I5" s="8" t="s">
        <v>16</v>
      </c>
    </row>
    <row r="6" spans="1:9" x14ac:dyDescent="0.35">
      <c r="A6" s="10">
        <v>3</v>
      </c>
      <c r="B6" s="11" t="s">
        <v>17</v>
      </c>
      <c r="C6" s="12" t="s">
        <v>15</v>
      </c>
      <c r="D6" s="13">
        <v>0.2</v>
      </c>
      <c r="E6" s="13">
        <v>0.3</v>
      </c>
      <c r="F6" s="13">
        <v>0.2</v>
      </c>
      <c r="G6" s="13">
        <v>0.5</v>
      </c>
      <c r="H6" s="13">
        <v>0.7</v>
      </c>
      <c r="I6" s="12" t="s">
        <v>18</v>
      </c>
    </row>
    <row r="7" spans="1:9" x14ac:dyDescent="0.35">
      <c r="A7" s="14">
        <v>4</v>
      </c>
      <c r="B7" s="15" t="s">
        <v>19</v>
      </c>
      <c r="C7" s="16" t="s">
        <v>12</v>
      </c>
      <c r="D7" s="17">
        <v>0.2</v>
      </c>
      <c r="E7" s="17">
        <v>0.1</v>
      </c>
      <c r="F7" s="17">
        <v>0.1</v>
      </c>
      <c r="G7" s="17">
        <v>0.1</v>
      </c>
      <c r="H7" s="17">
        <v>0.1</v>
      </c>
      <c r="I7" s="16" t="s">
        <v>20</v>
      </c>
    </row>
    <row r="8" spans="1:9" x14ac:dyDescent="0.35">
      <c r="A8" s="14">
        <v>5</v>
      </c>
      <c r="B8" s="15" t="s">
        <v>21</v>
      </c>
      <c r="C8" s="16" t="s">
        <v>12</v>
      </c>
      <c r="D8" s="17">
        <v>0.9</v>
      </c>
      <c r="E8" s="17">
        <v>0.4</v>
      </c>
      <c r="F8" s="17">
        <v>0.7</v>
      </c>
      <c r="G8" s="17">
        <v>0.1</v>
      </c>
      <c r="H8" s="17">
        <v>0.2</v>
      </c>
      <c r="I8" s="16" t="s">
        <v>22</v>
      </c>
    </row>
    <row r="9" spans="1:9" x14ac:dyDescent="0.35">
      <c r="A9" s="2">
        <v>6</v>
      </c>
      <c r="B9" s="3" t="s">
        <v>23</v>
      </c>
      <c r="C9" s="4" t="s">
        <v>12</v>
      </c>
      <c r="D9" s="5">
        <v>0.2</v>
      </c>
      <c r="E9" s="5">
        <v>0.1</v>
      </c>
      <c r="F9" s="5">
        <v>0.1</v>
      </c>
      <c r="G9" s="5">
        <v>0.2</v>
      </c>
      <c r="H9" s="5">
        <v>0.3</v>
      </c>
      <c r="I9" s="4" t="s">
        <v>24</v>
      </c>
    </row>
    <row r="10" spans="1:9" x14ac:dyDescent="0.35">
      <c r="A10" s="18">
        <v>7</v>
      </c>
      <c r="B10" s="19" t="s">
        <v>25</v>
      </c>
      <c r="C10" s="20" t="s">
        <v>26</v>
      </c>
      <c r="D10" s="21">
        <v>0.8</v>
      </c>
      <c r="E10" s="21">
        <v>0.5</v>
      </c>
      <c r="F10" s="21">
        <v>0.8</v>
      </c>
      <c r="G10" s="21">
        <v>0.1</v>
      </c>
      <c r="H10" s="21">
        <v>0.2</v>
      </c>
      <c r="I10" s="20" t="s">
        <v>27</v>
      </c>
    </row>
    <row r="11" spans="1:9" x14ac:dyDescent="0.35">
      <c r="A11" s="18">
        <v>8</v>
      </c>
      <c r="B11" s="19" t="s">
        <v>28</v>
      </c>
      <c r="C11" s="20" t="s">
        <v>26</v>
      </c>
      <c r="D11" s="21">
        <v>0.8</v>
      </c>
      <c r="E11" s="21">
        <v>0.6</v>
      </c>
      <c r="F11" s="21">
        <v>0.9</v>
      </c>
      <c r="G11" s="21">
        <v>0.1</v>
      </c>
      <c r="H11" s="21">
        <v>0.2</v>
      </c>
      <c r="I11" s="20" t="s">
        <v>29</v>
      </c>
    </row>
    <row r="12" spans="1:9" x14ac:dyDescent="0.35">
      <c r="A12" s="18">
        <v>9</v>
      </c>
      <c r="B12" s="19" t="s">
        <v>30</v>
      </c>
      <c r="C12" s="20" t="s">
        <v>26</v>
      </c>
      <c r="D12" s="21">
        <v>0.6</v>
      </c>
      <c r="E12" s="21">
        <v>0.4</v>
      </c>
      <c r="F12" s="21">
        <v>0.7</v>
      </c>
      <c r="G12" s="21">
        <v>0.2</v>
      </c>
      <c r="H12" s="21">
        <v>0.4</v>
      </c>
      <c r="I12" s="20" t="s">
        <v>31</v>
      </c>
    </row>
    <row r="13" spans="1:9" x14ac:dyDescent="0.35">
      <c r="A13" s="18">
        <v>10</v>
      </c>
      <c r="B13" s="19" t="s">
        <v>32</v>
      </c>
      <c r="C13" s="20" t="s">
        <v>26</v>
      </c>
      <c r="D13" s="21">
        <v>0.7</v>
      </c>
      <c r="E13" s="21">
        <v>0.5</v>
      </c>
      <c r="F13" s="21">
        <v>0.8</v>
      </c>
      <c r="G13" s="21">
        <v>0.1</v>
      </c>
      <c r="H13" s="21">
        <v>0.3</v>
      </c>
      <c r="I13" s="20" t="s">
        <v>33</v>
      </c>
    </row>
    <row r="14" spans="1:9" x14ac:dyDescent="0.35">
      <c r="A14" s="18">
        <v>11</v>
      </c>
      <c r="B14" s="19" t="s">
        <v>34</v>
      </c>
      <c r="C14" s="20" t="s">
        <v>26</v>
      </c>
      <c r="D14" s="21">
        <v>0.8</v>
      </c>
      <c r="E14" s="21">
        <v>0.6</v>
      </c>
      <c r="F14" s="21">
        <v>0.9</v>
      </c>
      <c r="G14" s="21">
        <v>0.1</v>
      </c>
      <c r="H14" s="21">
        <v>0.2</v>
      </c>
      <c r="I14" s="20" t="s">
        <v>35</v>
      </c>
    </row>
    <row r="15" spans="1:9" ht="23" x14ac:dyDescent="0.35">
      <c r="A15" s="18">
        <v>12</v>
      </c>
      <c r="B15" s="19" t="s">
        <v>36</v>
      </c>
      <c r="C15" s="20" t="s">
        <v>26</v>
      </c>
      <c r="D15" s="21">
        <v>0.7</v>
      </c>
      <c r="E15" s="21">
        <v>0.6</v>
      </c>
      <c r="F15" s="21">
        <v>0.8</v>
      </c>
      <c r="G15" s="21">
        <v>0.3</v>
      </c>
      <c r="H15" s="21">
        <v>0.4</v>
      </c>
      <c r="I15" s="20" t="s">
        <v>37</v>
      </c>
    </row>
    <row r="16" spans="1:9" x14ac:dyDescent="0.35">
      <c r="A16" s="18">
        <v>13</v>
      </c>
      <c r="B16" s="19" t="s">
        <v>38</v>
      </c>
      <c r="C16" s="20" t="s">
        <v>26</v>
      </c>
      <c r="D16" s="21">
        <v>0.5</v>
      </c>
      <c r="E16" s="21">
        <v>0.4</v>
      </c>
      <c r="F16" s="21">
        <v>0.6</v>
      </c>
      <c r="G16" s="21">
        <v>0.3</v>
      </c>
      <c r="H16" s="21">
        <v>0.4</v>
      </c>
      <c r="I16" s="20" t="s">
        <v>39</v>
      </c>
    </row>
    <row r="17" spans="1:9" x14ac:dyDescent="0.35">
      <c r="A17" s="18">
        <v>14</v>
      </c>
      <c r="B17" s="19" t="s">
        <v>40</v>
      </c>
      <c r="C17" s="20" t="s">
        <v>26</v>
      </c>
      <c r="D17" s="21">
        <v>0.6</v>
      </c>
      <c r="E17" s="21">
        <v>0.5</v>
      </c>
      <c r="F17" s="21">
        <v>0.7</v>
      </c>
      <c r="G17" s="21">
        <v>0.2</v>
      </c>
      <c r="H17" s="21">
        <v>0.4</v>
      </c>
      <c r="I17" s="20" t="s">
        <v>41</v>
      </c>
    </row>
    <row r="18" spans="1:9" x14ac:dyDescent="0.35">
      <c r="A18" s="18">
        <v>15</v>
      </c>
      <c r="B18" s="19" t="s">
        <v>42</v>
      </c>
      <c r="C18" s="20" t="s">
        <v>26</v>
      </c>
      <c r="D18" s="21">
        <v>0.7</v>
      </c>
      <c r="E18" s="21">
        <v>0.6</v>
      </c>
      <c r="F18" s="21">
        <v>0.8</v>
      </c>
      <c r="G18" s="21">
        <v>0.3</v>
      </c>
      <c r="H18" s="21">
        <v>0.4</v>
      </c>
      <c r="I18" s="20" t="s">
        <v>43</v>
      </c>
    </row>
    <row r="19" spans="1:9" x14ac:dyDescent="0.35">
      <c r="A19" s="18">
        <v>16</v>
      </c>
      <c r="B19" s="19" t="s">
        <v>44</v>
      </c>
      <c r="C19" s="20" t="s">
        <v>26</v>
      </c>
      <c r="D19" s="21">
        <v>0.9</v>
      </c>
      <c r="E19" s="21">
        <v>0.5</v>
      </c>
      <c r="F19" s="21">
        <v>0.7</v>
      </c>
      <c r="G19" s="21">
        <v>0.3</v>
      </c>
      <c r="H19" s="21">
        <v>0.5</v>
      </c>
      <c r="I19" s="20" t="s">
        <v>45</v>
      </c>
    </row>
    <row r="20" spans="1:9" ht="23" x14ac:dyDescent="0.35">
      <c r="A20" s="18">
        <v>17</v>
      </c>
      <c r="B20" s="19" t="s">
        <v>46</v>
      </c>
      <c r="C20" s="20" t="s">
        <v>26</v>
      </c>
      <c r="D20" s="21">
        <v>0.9</v>
      </c>
      <c r="E20" s="21">
        <v>0.4</v>
      </c>
      <c r="F20" s="21">
        <v>0.6</v>
      </c>
      <c r="G20" s="21">
        <v>0.4</v>
      </c>
      <c r="H20" s="21">
        <v>0.6</v>
      </c>
      <c r="I20" s="20" t="s">
        <v>47</v>
      </c>
    </row>
    <row r="21" spans="1:9" x14ac:dyDescent="0.35">
      <c r="A21" s="18">
        <v>18</v>
      </c>
      <c r="B21" s="19" t="s">
        <v>48</v>
      </c>
      <c r="C21" s="20" t="s">
        <v>26</v>
      </c>
      <c r="D21" s="21">
        <v>0.9</v>
      </c>
      <c r="E21" s="21">
        <v>0.5</v>
      </c>
      <c r="F21" s="21">
        <v>0.7</v>
      </c>
      <c r="G21" s="21">
        <v>0.3</v>
      </c>
      <c r="H21" s="21">
        <v>0.5</v>
      </c>
      <c r="I21" s="20" t="s">
        <v>45</v>
      </c>
    </row>
    <row r="22" spans="1:9" x14ac:dyDescent="0.35">
      <c r="A22" s="18">
        <v>19</v>
      </c>
      <c r="B22" s="19" t="s">
        <v>49</v>
      </c>
      <c r="C22" s="20" t="s">
        <v>26</v>
      </c>
      <c r="D22" s="21">
        <v>0.7</v>
      </c>
      <c r="E22" s="21">
        <v>0.4</v>
      </c>
      <c r="F22" s="21">
        <v>0.7</v>
      </c>
      <c r="G22" s="21">
        <v>0.3</v>
      </c>
      <c r="H22" s="21">
        <v>0.4</v>
      </c>
      <c r="I22" s="20" t="s">
        <v>50</v>
      </c>
    </row>
    <row r="23" spans="1:9" x14ac:dyDescent="0.35">
      <c r="A23" s="18">
        <v>20</v>
      </c>
      <c r="B23" s="19" t="s">
        <v>51</v>
      </c>
      <c r="C23" s="20" t="s">
        <v>26</v>
      </c>
      <c r="D23" s="21">
        <v>0.6</v>
      </c>
      <c r="E23" s="21">
        <v>0.4</v>
      </c>
      <c r="F23" s="21">
        <v>0.6</v>
      </c>
      <c r="G23" s="21">
        <v>0.3</v>
      </c>
      <c r="H23" s="21">
        <v>0.5</v>
      </c>
      <c r="I23" s="20" t="s">
        <v>52</v>
      </c>
    </row>
    <row r="24" spans="1:9" x14ac:dyDescent="0.35">
      <c r="A24" s="18">
        <v>21</v>
      </c>
      <c r="B24" s="19" t="s">
        <v>53</v>
      </c>
      <c r="C24" s="20" t="s">
        <v>26</v>
      </c>
      <c r="D24" s="21">
        <v>0.8</v>
      </c>
      <c r="E24" s="21">
        <v>0.5</v>
      </c>
      <c r="F24" s="21">
        <v>0.7</v>
      </c>
      <c r="G24" s="21">
        <v>0.1</v>
      </c>
      <c r="H24" s="21">
        <v>0.3</v>
      </c>
      <c r="I24" s="20" t="s">
        <v>54</v>
      </c>
    </row>
    <row r="25" spans="1:9" ht="23" x14ac:dyDescent="0.35">
      <c r="A25" s="18">
        <v>22</v>
      </c>
      <c r="B25" s="19" t="s">
        <v>55</v>
      </c>
      <c r="C25" s="20" t="s">
        <v>26</v>
      </c>
      <c r="D25" s="21">
        <v>0.7</v>
      </c>
      <c r="E25" s="21">
        <v>0.5</v>
      </c>
      <c r="F25" s="21">
        <v>0.7</v>
      </c>
      <c r="G25" s="21">
        <v>0.2</v>
      </c>
      <c r="H25" s="21">
        <v>0.3</v>
      </c>
      <c r="I25" s="20" t="s">
        <v>56</v>
      </c>
    </row>
    <row r="26" spans="1:9" x14ac:dyDescent="0.35">
      <c r="A26" s="18">
        <v>23</v>
      </c>
      <c r="B26" s="19" t="s">
        <v>57</v>
      </c>
      <c r="C26" s="20" t="s">
        <v>26</v>
      </c>
      <c r="D26" s="21">
        <v>0.7</v>
      </c>
      <c r="E26" s="21">
        <v>0.5</v>
      </c>
      <c r="F26" s="21">
        <v>0.8</v>
      </c>
      <c r="G26" s="21">
        <v>0.1</v>
      </c>
      <c r="H26" s="21">
        <v>0.2</v>
      </c>
      <c r="I26" s="20" t="s">
        <v>58</v>
      </c>
    </row>
    <row r="27" spans="1:9" ht="23" x14ac:dyDescent="0.35">
      <c r="A27" s="18">
        <v>24</v>
      </c>
      <c r="B27" s="19" t="s">
        <v>59</v>
      </c>
      <c r="C27" s="20" t="s">
        <v>26</v>
      </c>
      <c r="D27" s="21">
        <v>0.7</v>
      </c>
      <c r="E27" s="21">
        <v>0.4</v>
      </c>
      <c r="F27" s="21">
        <v>0.8</v>
      </c>
      <c r="G27" s="21">
        <v>0.1</v>
      </c>
      <c r="H27" s="21">
        <v>0.2</v>
      </c>
      <c r="I27" s="20" t="s">
        <v>60</v>
      </c>
    </row>
    <row r="28" spans="1:9" x14ac:dyDescent="0.35">
      <c r="A28" s="18">
        <v>25</v>
      </c>
      <c r="B28" s="19" t="s">
        <v>61</v>
      </c>
      <c r="C28" s="20" t="s">
        <v>26</v>
      </c>
      <c r="D28" s="21">
        <v>0.7</v>
      </c>
      <c r="E28" s="21">
        <v>0.4</v>
      </c>
      <c r="F28" s="21">
        <v>0.8</v>
      </c>
      <c r="G28" s="21">
        <v>0.1</v>
      </c>
      <c r="H28" s="21">
        <v>0.2</v>
      </c>
      <c r="I28" s="20" t="s">
        <v>62</v>
      </c>
    </row>
    <row r="29" spans="1:9" x14ac:dyDescent="0.35">
      <c r="A29" s="18">
        <v>26</v>
      </c>
      <c r="B29" s="19" t="s">
        <v>63</v>
      </c>
      <c r="C29" s="20" t="s">
        <v>26</v>
      </c>
      <c r="D29" s="21">
        <v>0.7</v>
      </c>
      <c r="E29" s="21">
        <v>0.4</v>
      </c>
      <c r="F29" s="21">
        <v>0.7</v>
      </c>
      <c r="G29" s="21">
        <v>0.1</v>
      </c>
      <c r="H29" s="21">
        <v>0.2</v>
      </c>
      <c r="I29" s="20" t="s">
        <v>64</v>
      </c>
    </row>
    <row r="30" spans="1:9" x14ac:dyDescent="0.35">
      <c r="A30" s="18">
        <v>27</v>
      </c>
      <c r="B30" s="19" t="s">
        <v>65</v>
      </c>
      <c r="C30" s="20" t="s">
        <v>26</v>
      </c>
      <c r="D30" s="21">
        <v>0.6</v>
      </c>
      <c r="E30" s="21">
        <v>0.5</v>
      </c>
      <c r="F30" s="21">
        <v>0.6</v>
      </c>
      <c r="G30" s="21">
        <v>0.3</v>
      </c>
      <c r="H30" s="21">
        <v>0.5</v>
      </c>
      <c r="I30" s="20" t="s">
        <v>66</v>
      </c>
    </row>
    <row r="31" spans="1:9" x14ac:dyDescent="0.35">
      <c r="A31" s="18">
        <v>28</v>
      </c>
      <c r="B31" s="19" t="s">
        <v>67</v>
      </c>
      <c r="C31" s="20" t="s">
        <v>26</v>
      </c>
      <c r="D31" s="21">
        <v>0.8</v>
      </c>
      <c r="E31" s="21">
        <v>0.4</v>
      </c>
      <c r="F31" s="21">
        <v>0.7</v>
      </c>
      <c r="G31" s="21">
        <v>0.2</v>
      </c>
      <c r="H31" s="21">
        <v>0.4</v>
      </c>
      <c r="I31" s="20" t="s">
        <v>68</v>
      </c>
    </row>
    <row r="32" spans="1:9" x14ac:dyDescent="0.35">
      <c r="A32" s="18">
        <v>29</v>
      </c>
      <c r="B32" s="19" t="s">
        <v>69</v>
      </c>
      <c r="C32" s="20" t="s">
        <v>26</v>
      </c>
      <c r="D32" s="21">
        <v>0.9</v>
      </c>
      <c r="E32" s="21">
        <v>0.5</v>
      </c>
      <c r="F32" s="21">
        <v>0.8</v>
      </c>
      <c r="G32" s="21">
        <v>0.3</v>
      </c>
      <c r="H32" s="21">
        <v>0.4</v>
      </c>
      <c r="I32" s="20" t="s">
        <v>70</v>
      </c>
    </row>
    <row r="33" spans="1:9" x14ac:dyDescent="0.35">
      <c r="A33" s="18">
        <v>30</v>
      </c>
      <c r="B33" s="19" t="s">
        <v>71</v>
      </c>
      <c r="C33" s="20" t="s">
        <v>26</v>
      </c>
      <c r="D33" s="21">
        <v>0.8</v>
      </c>
      <c r="E33" s="21">
        <v>0.4</v>
      </c>
      <c r="F33" s="21">
        <v>0.7</v>
      </c>
      <c r="G33" s="21">
        <v>0.3</v>
      </c>
      <c r="H33" s="21">
        <v>0.4</v>
      </c>
      <c r="I33" s="20" t="s">
        <v>72</v>
      </c>
    </row>
    <row r="34" spans="1:9" x14ac:dyDescent="0.35">
      <c r="A34" s="18">
        <v>31</v>
      </c>
      <c r="B34" s="19" t="s">
        <v>73</v>
      </c>
      <c r="C34" s="20" t="s">
        <v>26</v>
      </c>
      <c r="D34" s="21">
        <v>0.9</v>
      </c>
      <c r="E34" s="21">
        <v>0.5</v>
      </c>
      <c r="F34" s="21">
        <v>0.8</v>
      </c>
      <c r="G34" s="21">
        <v>0.3</v>
      </c>
      <c r="H34" s="21">
        <v>0.4</v>
      </c>
      <c r="I34" s="20" t="s">
        <v>74</v>
      </c>
    </row>
    <row r="35" spans="1:9" x14ac:dyDescent="0.35">
      <c r="A35" s="18">
        <v>32</v>
      </c>
      <c r="B35" s="19" t="s">
        <v>75</v>
      </c>
      <c r="C35" s="20" t="s">
        <v>26</v>
      </c>
      <c r="D35" s="21">
        <v>0.9</v>
      </c>
      <c r="E35" s="21">
        <v>0.4</v>
      </c>
      <c r="F35" s="21">
        <v>0.8</v>
      </c>
      <c r="G35" s="21">
        <v>0.1</v>
      </c>
      <c r="H35" s="21">
        <v>0.2</v>
      </c>
      <c r="I35" s="20" t="s">
        <v>76</v>
      </c>
    </row>
    <row r="36" spans="1:9" x14ac:dyDescent="0.35">
      <c r="A36" s="18">
        <v>33</v>
      </c>
      <c r="B36" s="19" t="s">
        <v>77</v>
      </c>
      <c r="C36" s="20" t="s">
        <v>26</v>
      </c>
      <c r="D36" s="21">
        <v>0.8</v>
      </c>
      <c r="E36" s="21">
        <v>0.5</v>
      </c>
      <c r="F36" s="21">
        <v>0.8</v>
      </c>
      <c r="G36" s="21">
        <v>0.1</v>
      </c>
      <c r="H36" s="21">
        <v>0.3</v>
      </c>
      <c r="I36" s="20" t="s">
        <v>78</v>
      </c>
    </row>
    <row r="37" spans="1:9" x14ac:dyDescent="0.35">
      <c r="A37" s="18">
        <v>34</v>
      </c>
      <c r="B37" s="19" t="s">
        <v>79</v>
      </c>
      <c r="C37" s="20" t="s">
        <v>26</v>
      </c>
      <c r="D37" s="21">
        <v>0.8</v>
      </c>
      <c r="E37" s="21">
        <v>0.5</v>
      </c>
      <c r="F37" s="21">
        <v>0.7</v>
      </c>
      <c r="G37" s="21">
        <v>0.2</v>
      </c>
      <c r="H37" s="21">
        <v>0.3</v>
      </c>
      <c r="I37" s="20" t="s">
        <v>80</v>
      </c>
    </row>
    <row r="38" spans="1:9" x14ac:dyDescent="0.35">
      <c r="A38" s="18">
        <v>35</v>
      </c>
      <c r="B38" s="19" t="s">
        <v>81</v>
      </c>
      <c r="C38" s="20" t="s">
        <v>26</v>
      </c>
      <c r="D38" s="21">
        <v>0.8</v>
      </c>
      <c r="E38" s="21">
        <v>0.4</v>
      </c>
      <c r="F38" s="21">
        <v>0.8</v>
      </c>
      <c r="G38" s="21">
        <v>0.05</v>
      </c>
      <c r="H38" s="21">
        <v>0.1</v>
      </c>
      <c r="I38" s="20" t="s">
        <v>82</v>
      </c>
    </row>
    <row r="39" spans="1:9" x14ac:dyDescent="0.35">
      <c r="A39" s="18">
        <v>36</v>
      </c>
      <c r="B39" s="19" t="s">
        <v>83</v>
      </c>
      <c r="C39" s="20" t="s">
        <v>26</v>
      </c>
      <c r="D39" s="21">
        <v>0.9</v>
      </c>
      <c r="E39" s="21">
        <v>0.4</v>
      </c>
      <c r="F39" s="21">
        <v>0.8</v>
      </c>
      <c r="G39" s="21">
        <v>0.05</v>
      </c>
      <c r="H39" s="21">
        <v>0.1</v>
      </c>
      <c r="I39" s="20" t="s">
        <v>84</v>
      </c>
    </row>
    <row r="40" spans="1:9" x14ac:dyDescent="0.35">
      <c r="A40" s="22">
        <v>37</v>
      </c>
      <c r="B40" s="23" t="s">
        <v>85</v>
      </c>
      <c r="C40" s="24" t="s">
        <v>26</v>
      </c>
      <c r="D40" s="25">
        <v>0.8</v>
      </c>
      <c r="E40" s="25">
        <v>0.5</v>
      </c>
      <c r="F40" s="25">
        <v>0.8</v>
      </c>
      <c r="G40" s="25">
        <v>0.1</v>
      </c>
      <c r="H40" s="25">
        <v>0.2</v>
      </c>
      <c r="I40" s="24" t="s">
        <v>86</v>
      </c>
    </row>
    <row r="41" spans="1:9" x14ac:dyDescent="0.35">
      <c r="A41" s="6">
        <v>38</v>
      </c>
      <c r="B41" s="7" t="s">
        <v>87</v>
      </c>
      <c r="C41" s="8" t="s">
        <v>15</v>
      </c>
      <c r="D41" s="9">
        <v>0.5</v>
      </c>
      <c r="E41" s="9">
        <v>0.4</v>
      </c>
      <c r="F41" s="9">
        <v>0.5</v>
      </c>
      <c r="G41" s="9">
        <v>0.4</v>
      </c>
      <c r="H41" s="9">
        <v>0.8</v>
      </c>
      <c r="I41" s="8" t="s">
        <v>88</v>
      </c>
    </row>
    <row r="42" spans="1:9" x14ac:dyDescent="0.35">
      <c r="A42" s="10">
        <v>39</v>
      </c>
      <c r="B42" s="11" t="s">
        <v>89</v>
      </c>
      <c r="C42" s="12" t="s">
        <v>15</v>
      </c>
      <c r="D42" s="13">
        <v>0.3</v>
      </c>
      <c r="E42" s="13">
        <v>0.3</v>
      </c>
      <c r="F42" s="13">
        <v>0.3</v>
      </c>
      <c r="G42" s="13">
        <v>0.5</v>
      </c>
      <c r="H42" s="13">
        <v>0.9</v>
      </c>
      <c r="I42" s="12" t="s">
        <v>90</v>
      </c>
    </row>
    <row r="43" spans="1:9" x14ac:dyDescent="0.35">
      <c r="A43" s="22">
        <v>40</v>
      </c>
      <c r="B43" s="23" t="s">
        <v>91</v>
      </c>
      <c r="C43" s="24" t="s">
        <v>26</v>
      </c>
      <c r="D43" s="25">
        <v>0.8</v>
      </c>
      <c r="E43" s="25">
        <v>0.5</v>
      </c>
      <c r="F43" s="25">
        <v>0.9</v>
      </c>
      <c r="G43" s="25">
        <v>0.1</v>
      </c>
      <c r="H43" s="25">
        <v>0.2</v>
      </c>
      <c r="I43" s="24" t="s">
        <v>92</v>
      </c>
    </row>
    <row r="44" spans="1:9" x14ac:dyDescent="0.35">
      <c r="A44" s="6">
        <v>41</v>
      </c>
      <c r="B44" s="7" t="s">
        <v>93</v>
      </c>
      <c r="C44" s="8" t="s">
        <v>15</v>
      </c>
      <c r="D44" s="9">
        <v>0.3</v>
      </c>
      <c r="E44" s="9">
        <v>0.4</v>
      </c>
      <c r="F44" s="9">
        <v>0.4</v>
      </c>
      <c r="G44" s="9">
        <v>0.5</v>
      </c>
      <c r="H44" s="9">
        <v>0.7</v>
      </c>
      <c r="I44" s="8" t="s">
        <v>94</v>
      </c>
    </row>
    <row r="45" spans="1:9" x14ac:dyDescent="0.35">
      <c r="A45" s="6">
        <v>42</v>
      </c>
      <c r="B45" s="7" t="s">
        <v>95</v>
      </c>
      <c r="C45" s="8" t="s">
        <v>15</v>
      </c>
      <c r="D45" s="9">
        <v>0.3</v>
      </c>
      <c r="E45" s="9">
        <v>0.4</v>
      </c>
      <c r="F45" s="9">
        <v>0.3</v>
      </c>
      <c r="G45" s="9">
        <v>0.6</v>
      </c>
      <c r="H45" s="9">
        <v>0.7</v>
      </c>
      <c r="I45" s="8" t="s">
        <v>94</v>
      </c>
    </row>
    <row r="46" spans="1:9" x14ac:dyDescent="0.35">
      <c r="A46" s="10">
        <v>43</v>
      </c>
      <c r="B46" s="11" t="s">
        <v>96</v>
      </c>
      <c r="C46" s="12" t="s">
        <v>15</v>
      </c>
      <c r="D46" s="13">
        <v>0.3</v>
      </c>
      <c r="E46" s="13">
        <v>0.3</v>
      </c>
      <c r="F46" s="13">
        <v>0.3</v>
      </c>
      <c r="G46" s="13">
        <v>0.6</v>
      </c>
      <c r="H46" s="13">
        <v>0.7</v>
      </c>
      <c r="I46" s="12" t="s">
        <v>94</v>
      </c>
    </row>
    <row r="47" spans="1:9" x14ac:dyDescent="0.35">
      <c r="A47" s="26">
        <v>44</v>
      </c>
      <c r="B47" s="27" t="s">
        <v>97</v>
      </c>
      <c r="C47" s="28" t="s">
        <v>98</v>
      </c>
      <c r="D47" s="29">
        <v>0.2</v>
      </c>
      <c r="E47" s="29">
        <v>0.2</v>
      </c>
      <c r="F47" s="29">
        <v>0.2</v>
      </c>
      <c r="G47" s="29">
        <v>0.3</v>
      </c>
      <c r="H47" s="29">
        <v>0.4</v>
      </c>
      <c r="I47" s="28" t="s">
        <v>99</v>
      </c>
    </row>
    <row r="48" spans="1:9" x14ac:dyDescent="0.35">
      <c r="A48" s="26">
        <v>45</v>
      </c>
      <c r="B48" s="27" t="s">
        <v>100</v>
      </c>
      <c r="C48" s="28" t="s">
        <v>98</v>
      </c>
      <c r="D48" s="29">
        <v>0.1</v>
      </c>
      <c r="E48" s="29">
        <v>0.2</v>
      </c>
      <c r="F48" s="29">
        <v>0.1</v>
      </c>
      <c r="G48" s="29">
        <v>0.8</v>
      </c>
      <c r="H48" s="29">
        <v>0.9</v>
      </c>
      <c r="I48" s="28" t="s">
        <v>101</v>
      </c>
    </row>
    <row r="49" spans="1:9" x14ac:dyDescent="0.35">
      <c r="A49" s="26">
        <v>46</v>
      </c>
      <c r="B49" s="27" t="s">
        <v>102</v>
      </c>
      <c r="C49" s="28" t="s">
        <v>98</v>
      </c>
      <c r="D49" s="29">
        <v>0.3</v>
      </c>
      <c r="E49" s="29">
        <v>0.4</v>
      </c>
      <c r="F49" s="29">
        <v>0.4</v>
      </c>
      <c r="G49" s="29">
        <v>0.6</v>
      </c>
      <c r="H49" s="29">
        <v>0.7</v>
      </c>
      <c r="I49" s="28" t="s">
        <v>103</v>
      </c>
    </row>
    <row r="50" spans="1:9" x14ac:dyDescent="0.35">
      <c r="A50" s="26">
        <v>47</v>
      </c>
      <c r="B50" s="27" t="s">
        <v>104</v>
      </c>
      <c r="C50" s="28" t="s">
        <v>98</v>
      </c>
      <c r="D50" s="29">
        <v>0.6</v>
      </c>
      <c r="E50" s="29">
        <v>0.5</v>
      </c>
      <c r="F50" s="29">
        <v>0.7</v>
      </c>
      <c r="G50" s="29">
        <v>0.4</v>
      </c>
      <c r="H50" s="29">
        <v>0.5</v>
      </c>
      <c r="I50" s="28" t="s">
        <v>105</v>
      </c>
    </row>
    <row r="51" spans="1:9" x14ac:dyDescent="0.35">
      <c r="A51" s="26">
        <v>48</v>
      </c>
      <c r="B51" s="27" t="s">
        <v>106</v>
      </c>
      <c r="C51" s="28" t="s">
        <v>98</v>
      </c>
      <c r="D51" s="29">
        <v>0.4</v>
      </c>
      <c r="E51" s="29">
        <v>0.5</v>
      </c>
      <c r="F51" s="29">
        <v>0.5</v>
      </c>
      <c r="G51" s="29">
        <v>0.6</v>
      </c>
      <c r="H51" s="29">
        <v>0.7</v>
      </c>
      <c r="I51" s="28" t="s">
        <v>107</v>
      </c>
    </row>
    <row r="52" spans="1:9" x14ac:dyDescent="0.35">
      <c r="A52" s="26">
        <v>49</v>
      </c>
      <c r="B52" s="27" t="s">
        <v>108</v>
      </c>
      <c r="C52" s="28" t="s">
        <v>98</v>
      </c>
      <c r="D52" s="29">
        <v>0.5</v>
      </c>
      <c r="E52" s="29">
        <v>0.5</v>
      </c>
      <c r="F52" s="29">
        <v>0.6</v>
      </c>
      <c r="G52" s="29">
        <v>0.5</v>
      </c>
      <c r="H52" s="29">
        <v>0.6</v>
      </c>
      <c r="I52" s="28" t="s">
        <v>109</v>
      </c>
    </row>
    <row r="53" spans="1:9" x14ac:dyDescent="0.35">
      <c r="A53" s="26">
        <v>50</v>
      </c>
      <c r="B53" s="27" t="s">
        <v>110</v>
      </c>
      <c r="C53" s="28" t="s">
        <v>98</v>
      </c>
      <c r="D53" s="29">
        <v>0.4</v>
      </c>
      <c r="E53" s="29">
        <v>0.4</v>
      </c>
      <c r="F53" s="29">
        <v>0.6</v>
      </c>
      <c r="G53" s="29">
        <v>0.6</v>
      </c>
      <c r="H53" s="29">
        <v>0.7</v>
      </c>
      <c r="I53" s="28" t="s">
        <v>111</v>
      </c>
    </row>
    <row r="54" spans="1:9" x14ac:dyDescent="0.35">
      <c r="A54" s="26">
        <v>51</v>
      </c>
      <c r="B54" s="27" t="s">
        <v>112</v>
      </c>
      <c r="C54" s="28" t="s">
        <v>98</v>
      </c>
      <c r="D54" s="29">
        <v>0.3</v>
      </c>
      <c r="E54" s="29">
        <v>0.4</v>
      </c>
      <c r="F54" s="29">
        <v>0.5</v>
      </c>
      <c r="G54" s="29">
        <v>0.7</v>
      </c>
      <c r="H54" s="29">
        <v>0.7</v>
      </c>
      <c r="I54" s="28" t="s">
        <v>113</v>
      </c>
    </row>
    <row r="55" spans="1:9" x14ac:dyDescent="0.35">
      <c r="A55" s="26">
        <v>52</v>
      </c>
      <c r="B55" s="27" t="s">
        <v>114</v>
      </c>
      <c r="C55" s="28" t="s">
        <v>98</v>
      </c>
      <c r="D55" s="29">
        <v>0.8</v>
      </c>
      <c r="E55" s="29">
        <v>0.5</v>
      </c>
      <c r="F55" s="29">
        <v>0.9</v>
      </c>
      <c r="G55" s="29">
        <v>0.1</v>
      </c>
      <c r="H55" s="29">
        <v>0.1</v>
      </c>
      <c r="I55" s="28" t="s">
        <v>115</v>
      </c>
    </row>
    <row r="56" spans="1:9" x14ac:dyDescent="0.35">
      <c r="A56" s="26">
        <v>53</v>
      </c>
      <c r="B56" s="27" t="s">
        <v>116</v>
      </c>
      <c r="C56" s="28" t="s">
        <v>98</v>
      </c>
      <c r="D56" s="29">
        <v>0.4</v>
      </c>
      <c r="E56" s="29">
        <v>0.5</v>
      </c>
      <c r="F56" s="29">
        <v>0.5</v>
      </c>
      <c r="G56" s="29">
        <v>0.7</v>
      </c>
      <c r="H56" s="29">
        <v>0.8</v>
      </c>
      <c r="I56" s="28" t="s">
        <v>111</v>
      </c>
    </row>
    <row r="57" spans="1:9" x14ac:dyDescent="0.35">
      <c r="A57" s="26">
        <v>54</v>
      </c>
      <c r="B57" s="27" t="s">
        <v>117</v>
      </c>
      <c r="C57" s="28" t="s">
        <v>98</v>
      </c>
      <c r="D57" s="29">
        <v>0.1</v>
      </c>
      <c r="E57" s="29">
        <v>0.2</v>
      </c>
      <c r="F57" s="29">
        <v>0.1</v>
      </c>
      <c r="G57" s="29">
        <v>0.9</v>
      </c>
      <c r="H57" s="29">
        <v>0.8</v>
      </c>
      <c r="I57" s="28" t="s">
        <v>118</v>
      </c>
    </row>
    <row r="58" spans="1:9" x14ac:dyDescent="0.35">
      <c r="A58" s="30">
        <v>55</v>
      </c>
      <c r="B58" s="31" t="s">
        <v>119</v>
      </c>
      <c r="C58" s="32" t="s">
        <v>98</v>
      </c>
      <c r="D58" s="33">
        <v>0.1</v>
      </c>
      <c r="E58" s="33">
        <v>0.3</v>
      </c>
      <c r="F58" s="33">
        <v>0.2</v>
      </c>
      <c r="G58" s="33">
        <v>0.9</v>
      </c>
      <c r="H58" s="33">
        <v>0.8</v>
      </c>
      <c r="I58" s="32" t="s">
        <v>118</v>
      </c>
    </row>
    <row r="59" spans="1:9" x14ac:dyDescent="0.35">
      <c r="A59" s="34">
        <v>56</v>
      </c>
      <c r="B59" s="35" t="s">
        <v>120</v>
      </c>
      <c r="C59" s="36" t="s">
        <v>121</v>
      </c>
      <c r="D59" s="37">
        <v>0.1</v>
      </c>
      <c r="E59" s="37">
        <v>0.1</v>
      </c>
      <c r="F59" s="37">
        <v>0.1</v>
      </c>
      <c r="G59" s="37">
        <v>0.1</v>
      </c>
      <c r="H59" s="37">
        <v>0.1</v>
      </c>
      <c r="I59" s="36" t="s">
        <v>122</v>
      </c>
    </row>
    <row r="60" spans="1:9" x14ac:dyDescent="0.35">
      <c r="A60" s="34">
        <v>57</v>
      </c>
      <c r="B60" s="35" t="s">
        <v>123</v>
      </c>
      <c r="C60" s="36" t="s">
        <v>121</v>
      </c>
      <c r="D60" s="37">
        <v>0.1</v>
      </c>
      <c r="E60" s="37">
        <v>0.1</v>
      </c>
      <c r="F60" s="37">
        <v>0.1</v>
      </c>
      <c r="G60" s="37">
        <v>0.1</v>
      </c>
      <c r="H60" s="37">
        <v>0.1</v>
      </c>
      <c r="I60" s="36" t="s">
        <v>122</v>
      </c>
    </row>
    <row r="61" spans="1:9" x14ac:dyDescent="0.35">
      <c r="A61" s="34">
        <v>58</v>
      </c>
      <c r="B61" s="35" t="s">
        <v>124</v>
      </c>
      <c r="C61" s="36" t="s">
        <v>121</v>
      </c>
      <c r="D61" s="37">
        <v>0.1</v>
      </c>
      <c r="E61" s="37">
        <v>0.1</v>
      </c>
      <c r="F61" s="37">
        <v>0.1</v>
      </c>
      <c r="G61" s="37">
        <v>0.1</v>
      </c>
      <c r="H61" s="37">
        <v>0.1</v>
      </c>
      <c r="I61" s="36" t="s">
        <v>122</v>
      </c>
    </row>
    <row r="62" spans="1:9" x14ac:dyDescent="0.35">
      <c r="A62" s="34">
        <v>59</v>
      </c>
      <c r="B62" s="35" t="s">
        <v>125</v>
      </c>
      <c r="C62" s="36" t="s">
        <v>121</v>
      </c>
      <c r="D62" s="37">
        <v>0.1</v>
      </c>
      <c r="E62" s="37">
        <v>0.1</v>
      </c>
      <c r="F62" s="37">
        <v>0.1</v>
      </c>
      <c r="G62" s="37">
        <v>0.1</v>
      </c>
      <c r="H62" s="37">
        <v>0.1</v>
      </c>
      <c r="I62" s="36" t="s">
        <v>126</v>
      </c>
    </row>
    <row r="63" spans="1:9" x14ac:dyDescent="0.35">
      <c r="A63" s="38">
        <v>60</v>
      </c>
      <c r="B63" s="39" t="s">
        <v>127</v>
      </c>
      <c r="C63" s="40" t="s">
        <v>121</v>
      </c>
      <c r="D63" s="41">
        <v>0.1</v>
      </c>
      <c r="E63" s="41">
        <v>0.1</v>
      </c>
      <c r="F63" s="41">
        <v>0.1</v>
      </c>
      <c r="G63" s="41">
        <v>0.1</v>
      </c>
      <c r="H63" s="41">
        <v>0.1</v>
      </c>
      <c r="I63" s="40" t="s">
        <v>128</v>
      </c>
    </row>
    <row r="64" spans="1:9" x14ac:dyDescent="0.35">
      <c r="A64" s="42">
        <v>61</v>
      </c>
      <c r="B64" s="43" t="s">
        <v>129</v>
      </c>
      <c r="C64" s="44" t="s">
        <v>130</v>
      </c>
      <c r="D64" s="45">
        <v>0.3</v>
      </c>
      <c r="E64" s="45">
        <v>0.3</v>
      </c>
      <c r="F64" s="45">
        <v>0.3</v>
      </c>
      <c r="G64" s="45">
        <v>0.6</v>
      </c>
      <c r="H64" s="45">
        <v>0.5</v>
      </c>
      <c r="I64" s="44" t="s">
        <v>131</v>
      </c>
    </row>
    <row r="65" spans="1:9" x14ac:dyDescent="0.35">
      <c r="A65" s="42">
        <v>62</v>
      </c>
      <c r="B65" s="43" t="s">
        <v>132</v>
      </c>
      <c r="C65" s="44" t="s">
        <v>130</v>
      </c>
      <c r="D65" s="45">
        <v>0.7</v>
      </c>
      <c r="E65" s="45">
        <v>0.4</v>
      </c>
      <c r="F65" s="45">
        <v>0.8</v>
      </c>
      <c r="G65" s="45">
        <v>0.1</v>
      </c>
      <c r="H65" s="45">
        <v>0.1</v>
      </c>
      <c r="I65" s="44" t="s">
        <v>133</v>
      </c>
    </row>
    <row r="66" spans="1:9" x14ac:dyDescent="0.35">
      <c r="A66" s="42">
        <v>63</v>
      </c>
      <c r="B66" s="43" t="s">
        <v>134</v>
      </c>
      <c r="C66" s="44" t="s">
        <v>130</v>
      </c>
      <c r="D66" s="45">
        <v>0.5</v>
      </c>
      <c r="E66" s="45">
        <v>0.4</v>
      </c>
      <c r="F66" s="45">
        <v>0.8</v>
      </c>
      <c r="G66" s="45">
        <v>0.1</v>
      </c>
      <c r="H66" s="45">
        <v>0.1</v>
      </c>
      <c r="I66" s="44" t="s">
        <v>135</v>
      </c>
    </row>
    <row r="67" spans="1:9" x14ac:dyDescent="0.35">
      <c r="A67" s="42">
        <v>64</v>
      </c>
      <c r="B67" s="43" t="s">
        <v>136</v>
      </c>
      <c r="C67" s="44" t="s">
        <v>130</v>
      </c>
      <c r="D67" s="45">
        <v>0.1</v>
      </c>
      <c r="E67" s="45">
        <v>0.2</v>
      </c>
      <c r="F67" s="45">
        <v>0.2</v>
      </c>
      <c r="G67" s="45">
        <v>0.8</v>
      </c>
      <c r="H67" s="45">
        <v>0.9</v>
      </c>
      <c r="I67" s="44" t="s">
        <v>137</v>
      </c>
    </row>
    <row r="68" spans="1:9" x14ac:dyDescent="0.35">
      <c r="A68" s="42">
        <v>65</v>
      </c>
      <c r="B68" s="43" t="s">
        <v>138</v>
      </c>
      <c r="C68" s="44" t="s">
        <v>130</v>
      </c>
      <c r="D68" s="45">
        <v>0.1</v>
      </c>
      <c r="E68" s="45">
        <v>0.1</v>
      </c>
      <c r="F68" s="45">
        <v>0.1</v>
      </c>
      <c r="G68" s="45">
        <v>0.1</v>
      </c>
      <c r="H68" s="45">
        <v>0.1</v>
      </c>
      <c r="I68" s="44" t="s">
        <v>122</v>
      </c>
    </row>
    <row r="69" spans="1:9" x14ac:dyDescent="0.35">
      <c r="A69" s="46">
        <v>66</v>
      </c>
      <c r="B69" s="47" t="s">
        <v>139</v>
      </c>
      <c r="C69" s="48" t="s">
        <v>130</v>
      </c>
      <c r="D69" s="49">
        <v>0</v>
      </c>
      <c r="E69" s="49">
        <v>0.1</v>
      </c>
      <c r="F69" s="49">
        <v>0</v>
      </c>
      <c r="G69" s="49">
        <v>0.3</v>
      </c>
      <c r="H69" s="49">
        <v>0.9</v>
      </c>
      <c r="I69" s="48" t="s">
        <v>140</v>
      </c>
    </row>
    <row r="70" spans="1:9" x14ac:dyDescent="0.35">
      <c r="A70" s="50">
        <v>67</v>
      </c>
      <c r="B70" s="51" t="s">
        <v>141</v>
      </c>
      <c r="C70" s="52" t="s">
        <v>142</v>
      </c>
      <c r="D70" s="53">
        <v>0</v>
      </c>
      <c r="E70" s="53">
        <v>0</v>
      </c>
      <c r="F70" s="53">
        <v>0</v>
      </c>
      <c r="G70" s="53">
        <v>0</v>
      </c>
      <c r="H70" s="53">
        <v>0</v>
      </c>
      <c r="I70" s="52" t="s">
        <v>143</v>
      </c>
    </row>
    <row r="71" spans="1:9" x14ac:dyDescent="0.35">
      <c r="A71" s="54">
        <v>68</v>
      </c>
      <c r="B71" s="55" t="s">
        <v>144</v>
      </c>
      <c r="C71" s="56" t="s">
        <v>142</v>
      </c>
      <c r="D71" s="57">
        <v>0</v>
      </c>
      <c r="E71" s="57">
        <v>0</v>
      </c>
      <c r="F71" s="57">
        <v>0</v>
      </c>
      <c r="G71" s="57">
        <v>0</v>
      </c>
      <c r="H71" s="57">
        <v>0</v>
      </c>
      <c r="I71" s="56" t="s">
        <v>143</v>
      </c>
    </row>
  </sheetData>
  <mergeCells count="2">
    <mergeCell ref="A1:I1"/>
    <mergeCell ref="A2:I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77"/>
  <sheetViews>
    <sheetView tabSelected="1" zoomScale="55" zoomScaleNormal="55" workbookViewId="0">
      <pane xSplit="3" ySplit="4" topLeftCell="D5" activePane="bottomRight" state="frozen"/>
      <selection pane="topRight"/>
      <selection pane="bottomLeft"/>
      <selection pane="bottomRight" activeCell="L13" sqref="L13"/>
    </sheetView>
  </sheetViews>
  <sheetFormatPr defaultRowHeight="14.5" x14ac:dyDescent="0.35"/>
  <cols>
    <col min="1" max="1" width="4" customWidth="1"/>
    <col min="2" max="2" width="28" customWidth="1"/>
    <col min="3" max="3" width="16" customWidth="1"/>
    <col min="4" max="6" width="10" customWidth="1"/>
    <col min="7" max="7" width="46" customWidth="1"/>
    <col min="8" max="10" width="10" customWidth="1"/>
    <col min="11" max="11" width="46" customWidth="1"/>
    <col min="12" max="14" width="10" customWidth="1"/>
    <col min="15" max="15" width="46" customWidth="1"/>
    <col min="16" max="18" width="10" customWidth="1"/>
    <col min="19" max="19" width="46" customWidth="1"/>
    <col min="20" max="22" width="10" customWidth="1"/>
    <col min="23" max="23" width="46" customWidth="1"/>
  </cols>
  <sheetData>
    <row r="1" spans="1:23" ht="30" customHeight="1" x14ac:dyDescent="0.35">
      <c r="A1" s="66" t="s">
        <v>145</v>
      </c>
      <c r="B1" s="67"/>
      <c r="C1" s="67"/>
      <c r="D1" s="67"/>
      <c r="E1" s="67"/>
      <c r="F1" s="67"/>
      <c r="G1" s="67"/>
      <c r="H1" s="67"/>
      <c r="I1" s="67"/>
      <c r="J1" s="67"/>
      <c r="K1" s="67"/>
      <c r="L1" s="67"/>
      <c r="M1" s="67"/>
      <c r="N1" s="67"/>
      <c r="O1" s="67"/>
      <c r="P1" s="67"/>
      <c r="Q1" s="67"/>
      <c r="R1" s="67"/>
      <c r="S1" s="67"/>
      <c r="T1" s="67"/>
      <c r="U1" s="67"/>
      <c r="V1" s="67"/>
      <c r="W1" s="67"/>
    </row>
    <row r="2" spans="1:23" ht="18" customHeight="1" x14ac:dyDescent="0.35">
      <c r="A2" s="75" t="s">
        <v>146</v>
      </c>
      <c r="B2" s="67"/>
      <c r="C2" s="67"/>
      <c r="D2" s="67"/>
      <c r="E2" s="67"/>
      <c r="F2" s="67"/>
      <c r="G2" s="67"/>
      <c r="H2" s="67"/>
      <c r="I2" s="67"/>
      <c r="J2" s="67"/>
      <c r="K2" s="67"/>
      <c r="L2" s="67"/>
      <c r="M2" s="67"/>
      <c r="N2" s="67"/>
      <c r="O2" s="67"/>
      <c r="P2" s="67"/>
      <c r="Q2" s="67"/>
      <c r="R2" s="67"/>
      <c r="S2" s="67"/>
      <c r="T2" s="67"/>
      <c r="U2" s="67"/>
      <c r="V2" s="67"/>
      <c r="W2" s="67"/>
    </row>
    <row r="3" spans="1:23" ht="18" customHeight="1" x14ac:dyDescent="0.35">
      <c r="A3" s="74"/>
      <c r="B3" s="67"/>
      <c r="C3" s="67"/>
      <c r="D3" s="69" t="s">
        <v>147</v>
      </c>
      <c r="E3" s="67"/>
      <c r="F3" s="67"/>
      <c r="G3" s="67"/>
      <c r="H3" s="71" t="s">
        <v>148</v>
      </c>
      <c r="I3" s="67"/>
      <c r="J3" s="67"/>
      <c r="K3" s="67"/>
      <c r="L3" s="72" t="s">
        <v>149</v>
      </c>
      <c r="M3" s="67"/>
      <c r="N3" s="67"/>
      <c r="O3" s="67"/>
      <c r="P3" s="73" t="s">
        <v>150</v>
      </c>
      <c r="Q3" s="67"/>
      <c r="R3" s="67"/>
      <c r="S3" s="67"/>
      <c r="T3" s="70" t="s">
        <v>151</v>
      </c>
      <c r="U3" s="67"/>
      <c r="V3" s="67"/>
      <c r="W3" s="67"/>
    </row>
    <row r="4" spans="1:23" ht="45" customHeight="1" x14ac:dyDescent="0.35">
      <c r="A4" s="1" t="s">
        <v>2</v>
      </c>
      <c r="B4" s="1" t="s">
        <v>3</v>
      </c>
      <c r="C4" s="1" t="s">
        <v>4</v>
      </c>
      <c r="D4" s="58" t="s">
        <v>152</v>
      </c>
      <c r="E4" s="58" t="s">
        <v>153</v>
      </c>
      <c r="F4" s="58" t="s">
        <v>154</v>
      </c>
      <c r="G4" s="58" t="s">
        <v>10</v>
      </c>
      <c r="H4" s="59" t="s">
        <v>152</v>
      </c>
      <c r="I4" s="59" t="s">
        <v>153</v>
      </c>
      <c r="J4" s="59" t="s">
        <v>154</v>
      </c>
      <c r="K4" s="59" t="s">
        <v>10</v>
      </c>
      <c r="L4" s="60" t="s">
        <v>152</v>
      </c>
      <c r="M4" s="60" t="s">
        <v>153</v>
      </c>
      <c r="N4" s="60" t="s">
        <v>154</v>
      </c>
      <c r="O4" s="60" t="s">
        <v>10</v>
      </c>
      <c r="P4" s="61" t="s">
        <v>152</v>
      </c>
      <c r="Q4" s="61" t="s">
        <v>153</v>
      </c>
      <c r="R4" s="61" t="s">
        <v>154</v>
      </c>
      <c r="S4" s="61" t="s">
        <v>10</v>
      </c>
      <c r="T4" s="62" t="s">
        <v>152</v>
      </c>
      <c r="U4" s="62" t="s">
        <v>153</v>
      </c>
      <c r="V4" s="62" t="s">
        <v>154</v>
      </c>
      <c r="W4" s="62" t="s">
        <v>10</v>
      </c>
    </row>
    <row r="5" spans="1:23" ht="23" x14ac:dyDescent="0.35">
      <c r="A5" s="2">
        <v>1</v>
      </c>
      <c r="B5" s="3" t="s">
        <v>11</v>
      </c>
      <c r="C5" s="4" t="s">
        <v>12</v>
      </c>
      <c r="D5" s="2">
        <v>26</v>
      </c>
      <c r="E5" s="2">
        <v>18</v>
      </c>
      <c r="F5" s="2">
        <v>32</v>
      </c>
      <c r="G5" s="4" t="s">
        <v>155</v>
      </c>
      <c r="H5" s="2" t="s">
        <v>156</v>
      </c>
      <c r="I5" s="2" t="s">
        <v>156</v>
      </c>
      <c r="J5" s="2" t="s">
        <v>156</v>
      </c>
      <c r="K5" s="4" t="s">
        <v>157</v>
      </c>
      <c r="L5" s="2">
        <v>50</v>
      </c>
      <c r="M5" s="2">
        <v>0</v>
      </c>
      <c r="N5" s="2">
        <v>300</v>
      </c>
      <c r="O5" s="4" t="s">
        <v>158</v>
      </c>
      <c r="P5" s="2">
        <v>36</v>
      </c>
      <c r="Q5" s="2">
        <v>28</v>
      </c>
      <c r="R5" s="2">
        <v>38</v>
      </c>
      <c r="S5" s="4" t="s">
        <v>159</v>
      </c>
      <c r="T5" s="2" t="s">
        <v>156</v>
      </c>
      <c r="U5" s="2" t="s">
        <v>156</v>
      </c>
      <c r="V5" s="2" t="s">
        <v>156</v>
      </c>
      <c r="W5" s="4" t="s">
        <v>157</v>
      </c>
    </row>
    <row r="6" spans="1:23" ht="23" x14ac:dyDescent="0.35">
      <c r="A6" s="6">
        <v>2</v>
      </c>
      <c r="B6" s="7" t="s">
        <v>14</v>
      </c>
      <c r="C6" s="8" t="s">
        <v>15</v>
      </c>
      <c r="D6" s="6" t="s">
        <v>156</v>
      </c>
      <c r="E6" s="6" t="s">
        <v>156</v>
      </c>
      <c r="F6" s="6" t="s">
        <v>156</v>
      </c>
      <c r="G6" s="8" t="s">
        <v>160</v>
      </c>
      <c r="H6" s="6">
        <v>24</v>
      </c>
      <c r="I6" s="6">
        <v>14</v>
      </c>
      <c r="J6" s="6">
        <v>30</v>
      </c>
      <c r="K6" s="8" t="s">
        <v>161</v>
      </c>
      <c r="L6" s="6">
        <v>40</v>
      </c>
      <c r="M6" s="6">
        <v>5</v>
      </c>
      <c r="N6" s="6">
        <v>200</v>
      </c>
      <c r="O6" s="8" t="s">
        <v>162</v>
      </c>
      <c r="P6" s="6" t="s">
        <v>156</v>
      </c>
      <c r="Q6" s="6" t="s">
        <v>156</v>
      </c>
      <c r="R6" s="6" t="s">
        <v>156</v>
      </c>
      <c r="S6" s="8" t="s">
        <v>160</v>
      </c>
      <c r="T6" s="6">
        <v>35</v>
      </c>
      <c r="U6" s="6">
        <v>28</v>
      </c>
      <c r="V6" s="6">
        <v>38</v>
      </c>
      <c r="W6" s="8" t="s">
        <v>163</v>
      </c>
    </row>
    <row r="7" spans="1:23" ht="23" x14ac:dyDescent="0.35">
      <c r="A7" s="10">
        <v>3</v>
      </c>
      <c r="B7" s="11" t="s">
        <v>17</v>
      </c>
      <c r="C7" s="12" t="s">
        <v>15</v>
      </c>
      <c r="D7" s="10" t="s">
        <v>156</v>
      </c>
      <c r="E7" s="10" t="s">
        <v>156</v>
      </c>
      <c r="F7" s="10" t="s">
        <v>156</v>
      </c>
      <c r="G7" s="12" t="s">
        <v>160</v>
      </c>
      <c r="H7" s="10">
        <v>24</v>
      </c>
      <c r="I7" s="10">
        <v>14</v>
      </c>
      <c r="J7" s="10">
        <v>31</v>
      </c>
      <c r="K7" s="12" t="s">
        <v>164</v>
      </c>
      <c r="L7" s="10">
        <v>20</v>
      </c>
      <c r="M7" s="10">
        <v>0</v>
      </c>
      <c r="N7" s="10">
        <v>100</v>
      </c>
      <c r="O7" s="12" t="s">
        <v>165</v>
      </c>
      <c r="P7" s="10" t="s">
        <v>156</v>
      </c>
      <c r="Q7" s="10" t="s">
        <v>156</v>
      </c>
      <c r="R7" s="10" t="s">
        <v>156</v>
      </c>
      <c r="S7" s="12" t="s">
        <v>160</v>
      </c>
      <c r="T7" s="10">
        <v>34</v>
      </c>
      <c r="U7" s="10">
        <v>25</v>
      </c>
      <c r="V7" s="10">
        <v>38</v>
      </c>
      <c r="W7" s="12" t="s">
        <v>166</v>
      </c>
    </row>
    <row r="8" spans="1:23" ht="23" x14ac:dyDescent="0.35">
      <c r="A8" s="14">
        <v>4</v>
      </c>
      <c r="B8" s="15" t="s">
        <v>19</v>
      </c>
      <c r="C8" s="16" t="s">
        <v>12</v>
      </c>
      <c r="D8" s="14">
        <v>27</v>
      </c>
      <c r="E8" s="14">
        <v>20</v>
      </c>
      <c r="F8" s="14">
        <v>32</v>
      </c>
      <c r="G8" s="16" t="s">
        <v>167</v>
      </c>
      <c r="H8" s="14" t="s">
        <v>156</v>
      </c>
      <c r="I8" s="14" t="s">
        <v>156</v>
      </c>
      <c r="J8" s="14" t="s">
        <v>156</v>
      </c>
      <c r="K8" s="16" t="s">
        <v>157</v>
      </c>
      <c r="L8" s="14">
        <v>60</v>
      </c>
      <c r="M8" s="14">
        <v>0</v>
      </c>
      <c r="N8" s="14">
        <v>400</v>
      </c>
      <c r="O8" s="16" t="s">
        <v>168</v>
      </c>
      <c r="P8" s="14">
        <v>36</v>
      </c>
      <c r="Q8" s="14">
        <v>30</v>
      </c>
      <c r="R8" s="14">
        <v>38</v>
      </c>
      <c r="S8" s="16" t="s">
        <v>169</v>
      </c>
      <c r="T8" s="14" t="s">
        <v>156</v>
      </c>
      <c r="U8" s="14" t="s">
        <v>156</v>
      </c>
      <c r="V8" s="14" t="s">
        <v>156</v>
      </c>
      <c r="W8" s="16" t="s">
        <v>157</v>
      </c>
    </row>
    <row r="9" spans="1:23" ht="23" x14ac:dyDescent="0.35">
      <c r="A9" s="14">
        <v>5</v>
      </c>
      <c r="B9" s="15" t="s">
        <v>21</v>
      </c>
      <c r="C9" s="16" t="s">
        <v>12</v>
      </c>
      <c r="D9" s="14">
        <v>26</v>
      </c>
      <c r="E9" s="14">
        <v>18</v>
      </c>
      <c r="F9" s="14">
        <v>31</v>
      </c>
      <c r="G9" s="16" t="s">
        <v>170</v>
      </c>
      <c r="H9" s="14" t="s">
        <v>156</v>
      </c>
      <c r="I9" s="14" t="s">
        <v>156</v>
      </c>
      <c r="J9" s="14" t="s">
        <v>156</v>
      </c>
      <c r="K9" s="16" t="s">
        <v>171</v>
      </c>
      <c r="L9" s="14">
        <v>40</v>
      </c>
      <c r="M9" s="14">
        <v>10</v>
      </c>
      <c r="N9" s="14">
        <v>150</v>
      </c>
      <c r="O9" s="16" t="s">
        <v>172</v>
      </c>
      <c r="P9" s="14">
        <v>36</v>
      </c>
      <c r="Q9" s="14">
        <v>30</v>
      </c>
      <c r="R9" s="14">
        <v>38</v>
      </c>
      <c r="S9" s="16" t="s">
        <v>173</v>
      </c>
      <c r="T9" s="14" t="s">
        <v>156</v>
      </c>
      <c r="U9" s="14" t="s">
        <v>156</v>
      </c>
      <c r="V9" s="14" t="s">
        <v>156</v>
      </c>
      <c r="W9" s="16" t="s">
        <v>157</v>
      </c>
    </row>
    <row r="10" spans="1:23" x14ac:dyDescent="0.35">
      <c r="A10" s="2">
        <v>6</v>
      </c>
      <c r="B10" s="3" t="s">
        <v>23</v>
      </c>
      <c r="C10" s="4" t="s">
        <v>12</v>
      </c>
      <c r="D10" s="2">
        <v>26</v>
      </c>
      <c r="E10" s="2">
        <v>18</v>
      </c>
      <c r="F10" s="2">
        <v>32</v>
      </c>
      <c r="G10" s="4" t="s">
        <v>174</v>
      </c>
      <c r="H10" s="2" t="s">
        <v>156</v>
      </c>
      <c r="I10" s="2" t="s">
        <v>156</v>
      </c>
      <c r="J10" s="2" t="s">
        <v>156</v>
      </c>
      <c r="K10" s="4" t="s">
        <v>157</v>
      </c>
      <c r="L10" s="2">
        <v>20</v>
      </c>
      <c r="M10" s="2">
        <v>0</v>
      </c>
      <c r="N10" s="2">
        <v>100</v>
      </c>
      <c r="O10" s="4" t="s">
        <v>175</v>
      </c>
      <c r="P10" s="2">
        <v>35</v>
      </c>
      <c r="Q10" s="2">
        <v>25</v>
      </c>
      <c r="R10" s="2">
        <v>38</v>
      </c>
      <c r="S10" s="4" t="s">
        <v>176</v>
      </c>
      <c r="T10" s="2" t="s">
        <v>156</v>
      </c>
      <c r="U10" s="2" t="s">
        <v>156</v>
      </c>
      <c r="V10" s="2" t="s">
        <v>156</v>
      </c>
      <c r="W10" s="4" t="s">
        <v>157</v>
      </c>
    </row>
    <row r="11" spans="1:23" ht="23" x14ac:dyDescent="0.35">
      <c r="A11" s="18">
        <v>7</v>
      </c>
      <c r="B11" s="19" t="s">
        <v>25</v>
      </c>
      <c r="C11" s="20" t="s">
        <v>26</v>
      </c>
      <c r="D11" s="18" t="s">
        <v>156</v>
      </c>
      <c r="E11" s="18" t="s">
        <v>156</v>
      </c>
      <c r="F11" s="18" t="s">
        <v>156</v>
      </c>
      <c r="G11" s="20" t="s">
        <v>177</v>
      </c>
      <c r="H11" s="18">
        <v>25</v>
      </c>
      <c r="I11" s="18">
        <v>16</v>
      </c>
      <c r="J11" s="18">
        <v>30</v>
      </c>
      <c r="K11" s="20" t="s">
        <v>178</v>
      </c>
      <c r="L11" s="18">
        <v>35</v>
      </c>
      <c r="M11" s="18">
        <v>5</v>
      </c>
      <c r="N11" s="18">
        <v>120</v>
      </c>
      <c r="O11" s="20" t="s">
        <v>179</v>
      </c>
      <c r="P11" s="18" t="s">
        <v>156</v>
      </c>
      <c r="Q11" s="18" t="s">
        <v>156</v>
      </c>
      <c r="R11" s="18" t="s">
        <v>156</v>
      </c>
      <c r="S11" s="20" t="s">
        <v>177</v>
      </c>
      <c r="T11" s="18">
        <v>35</v>
      </c>
      <c r="U11" s="18">
        <v>30</v>
      </c>
      <c r="V11" s="18">
        <v>38</v>
      </c>
      <c r="W11" s="20" t="s">
        <v>180</v>
      </c>
    </row>
    <row r="12" spans="1:23" ht="23" x14ac:dyDescent="0.35">
      <c r="A12" s="18">
        <v>8</v>
      </c>
      <c r="B12" s="19" t="s">
        <v>28</v>
      </c>
      <c r="C12" s="20" t="s">
        <v>26</v>
      </c>
      <c r="D12" s="18" t="s">
        <v>156</v>
      </c>
      <c r="E12" s="18" t="s">
        <v>156</v>
      </c>
      <c r="F12" s="18" t="s">
        <v>156</v>
      </c>
      <c r="G12" s="20" t="s">
        <v>177</v>
      </c>
      <c r="H12" s="18">
        <v>23</v>
      </c>
      <c r="I12" s="18">
        <v>13</v>
      </c>
      <c r="J12" s="18">
        <v>29</v>
      </c>
      <c r="K12" s="20" t="s">
        <v>181</v>
      </c>
      <c r="L12" s="18">
        <v>40</v>
      </c>
      <c r="M12" s="18">
        <v>5</v>
      </c>
      <c r="N12" s="18">
        <v>150</v>
      </c>
      <c r="O12" s="20" t="s">
        <v>33</v>
      </c>
      <c r="P12" s="18" t="s">
        <v>156</v>
      </c>
      <c r="Q12" s="18" t="s">
        <v>156</v>
      </c>
      <c r="R12" s="18" t="s">
        <v>156</v>
      </c>
      <c r="S12" s="20" t="s">
        <v>177</v>
      </c>
      <c r="T12" s="18">
        <v>35</v>
      </c>
      <c r="U12" s="18">
        <v>28</v>
      </c>
      <c r="V12" s="18">
        <v>38</v>
      </c>
      <c r="W12" s="20" t="s">
        <v>182</v>
      </c>
    </row>
    <row r="13" spans="1:23" x14ac:dyDescent="0.35">
      <c r="A13" s="18">
        <v>9</v>
      </c>
      <c r="B13" s="19" t="s">
        <v>30</v>
      </c>
      <c r="C13" s="20" t="s">
        <v>26</v>
      </c>
      <c r="D13" s="18" t="s">
        <v>156</v>
      </c>
      <c r="E13" s="18" t="s">
        <v>156</v>
      </c>
      <c r="F13" s="18" t="s">
        <v>156</v>
      </c>
      <c r="G13" s="20" t="s">
        <v>177</v>
      </c>
      <c r="H13" s="18">
        <v>24</v>
      </c>
      <c r="I13" s="18">
        <v>14</v>
      </c>
      <c r="J13" s="18">
        <v>30</v>
      </c>
      <c r="K13" s="20" t="s">
        <v>183</v>
      </c>
      <c r="L13" s="18">
        <v>15</v>
      </c>
      <c r="M13" s="18">
        <v>1</v>
      </c>
      <c r="N13" s="18">
        <v>60</v>
      </c>
      <c r="O13" s="20" t="s">
        <v>184</v>
      </c>
      <c r="P13" s="18" t="s">
        <v>156</v>
      </c>
      <c r="Q13" s="18" t="s">
        <v>156</v>
      </c>
      <c r="R13" s="18" t="s">
        <v>156</v>
      </c>
      <c r="S13" s="20" t="s">
        <v>177</v>
      </c>
      <c r="T13" s="18">
        <v>34</v>
      </c>
      <c r="U13" s="18">
        <v>25</v>
      </c>
      <c r="V13" s="18">
        <v>38</v>
      </c>
      <c r="W13" s="20" t="s">
        <v>182</v>
      </c>
    </row>
    <row r="14" spans="1:23" x14ac:dyDescent="0.35">
      <c r="A14" s="18">
        <v>10</v>
      </c>
      <c r="B14" s="19" t="s">
        <v>32</v>
      </c>
      <c r="C14" s="20" t="s">
        <v>26</v>
      </c>
      <c r="D14" s="18" t="s">
        <v>156</v>
      </c>
      <c r="E14" s="18" t="s">
        <v>156</v>
      </c>
      <c r="F14" s="18" t="s">
        <v>156</v>
      </c>
      <c r="G14" s="20" t="s">
        <v>177</v>
      </c>
      <c r="H14" s="18">
        <v>23</v>
      </c>
      <c r="I14" s="18">
        <v>13</v>
      </c>
      <c r="J14" s="18">
        <v>29</v>
      </c>
      <c r="K14" s="20" t="s">
        <v>33</v>
      </c>
      <c r="L14" s="18">
        <v>30</v>
      </c>
      <c r="M14" s="18">
        <v>5</v>
      </c>
      <c r="N14" s="18">
        <v>100</v>
      </c>
      <c r="O14" s="20" t="s">
        <v>33</v>
      </c>
      <c r="P14" s="18" t="s">
        <v>156</v>
      </c>
      <c r="Q14" s="18" t="s">
        <v>156</v>
      </c>
      <c r="R14" s="18" t="s">
        <v>156</v>
      </c>
      <c r="S14" s="20" t="s">
        <v>177</v>
      </c>
      <c r="T14" s="18">
        <v>35</v>
      </c>
      <c r="U14" s="18">
        <v>28</v>
      </c>
      <c r="V14" s="18">
        <v>38</v>
      </c>
      <c r="W14" s="20" t="s">
        <v>182</v>
      </c>
    </row>
    <row r="15" spans="1:23" x14ac:dyDescent="0.35">
      <c r="A15" s="18">
        <v>11</v>
      </c>
      <c r="B15" s="19" t="s">
        <v>34</v>
      </c>
      <c r="C15" s="20" t="s">
        <v>26</v>
      </c>
      <c r="D15" s="18" t="s">
        <v>156</v>
      </c>
      <c r="E15" s="18" t="s">
        <v>156</v>
      </c>
      <c r="F15" s="18" t="s">
        <v>156</v>
      </c>
      <c r="G15" s="20" t="s">
        <v>177</v>
      </c>
      <c r="H15" s="18">
        <v>22</v>
      </c>
      <c r="I15" s="18">
        <v>13</v>
      </c>
      <c r="J15" s="18">
        <v>29</v>
      </c>
      <c r="K15" s="20" t="s">
        <v>33</v>
      </c>
      <c r="L15" s="18">
        <v>45</v>
      </c>
      <c r="M15" s="18">
        <v>10</v>
      </c>
      <c r="N15" s="18">
        <v>150</v>
      </c>
      <c r="O15" s="20" t="s">
        <v>33</v>
      </c>
      <c r="P15" s="18" t="s">
        <v>156</v>
      </c>
      <c r="Q15" s="18" t="s">
        <v>156</v>
      </c>
      <c r="R15" s="18" t="s">
        <v>156</v>
      </c>
      <c r="S15" s="20" t="s">
        <v>177</v>
      </c>
      <c r="T15" s="18">
        <v>35</v>
      </c>
      <c r="U15" s="18">
        <v>29</v>
      </c>
      <c r="V15" s="18">
        <v>38</v>
      </c>
      <c r="W15" s="20" t="s">
        <v>182</v>
      </c>
    </row>
    <row r="16" spans="1:23" ht="23" x14ac:dyDescent="0.35">
      <c r="A16" s="18">
        <v>12</v>
      </c>
      <c r="B16" s="19" t="s">
        <v>36</v>
      </c>
      <c r="C16" s="20" t="s">
        <v>26</v>
      </c>
      <c r="D16" s="18" t="s">
        <v>156</v>
      </c>
      <c r="E16" s="18" t="s">
        <v>156</v>
      </c>
      <c r="F16" s="18" t="s">
        <v>156</v>
      </c>
      <c r="G16" s="20" t="s">
        <v>177</v>
      </c>
      <c r="H16" s="18">
        <v>22</v>
      </c>
      <c r="I16" s="18">
        <v>10</v>
      </c>
      <c r="J16" s="18">
        <v>29</v>
      </c>
      <c r="K16" s="20" t="s">
        <v>185</v>
      </c>
      <c r="L16" s="18">
        <v>30</v>
      </c>
      <c r="M16" s="18">
        <v>5</v>
      </c>
      <c r="N16" s="18">
        <v>100</v>
      </c>
      <c r="O16" s="20" t="s">
        <v>186</v>
      </c>
      <c r="P16" s="18" t="s">
        <v>156</v>
      </c>
      <c r="Q16" s="18" t="s">
        <v>156</v>
      </c>
      <c r="R16" s="18" t="s">
        <v>156</v>
      </c>
      <c r="S16" s="20" t="s">
        <v>177</v>
      </c>
      <c r="T16" s="18">
        <v>35</v>
      </c>
      <c r="U16" s="18">
        <v>27</v>
      </c>
      <c r="V16" s="18">
        <v>38</v>
      </c>
      <c r="W16" s="20" t="s">
        <v>187</v>
      </c>
    </row>
    <row r="17" spans="1:23" x14ac:dyDescent="0.35">
      <c r="A17" s="18">
        <v>13</v>
      </c>
      <c r="B17" s="19" t="s">
        <v>38</v>
      </c>
      <c r="C17" s="20" t="s">
        <v>26</v>
      </c>
      <c r="D17" s="18" t="s">
        <v>156</v>
      </c>
      <c r="E17" s="18" t="s">
        <v>156</v>
      </c>
      <c r="F17" s="18" t="s">
        <v>156</v>
      </c>
      <c r="G17" s="20" t="s">
        <v>177</v>
      </c>
      <c r="H17" s="18">
        <v>24</v>
      </c>
      <c r="I17" s="18">
        <v>14</v>
      </c>
      <c r="J17" s="18">
        <v>30</v>
      </c>
      <c r="K17" s="20" t="s">
        <v>188</v>
      </c>
      <c r="L17" s="18">
        <v>15</v>
      </c>
      <c r="M17" s="18">
        <v>1</v>
      </c>
      <c r="N17" s="18">
        <v>50</v>
      </c>
      <c r="O17" s="20" t="s">
        <v>39</v>
      </c>
      <c r="P17" s="18" t="s">
        <v>156</v>
      </c>
      <c r="Q17" s="18" t="s">
        <v>156</v>
      </c>
      <c r="R17" s="18" t="s">
        <v>156</v>
      </c>
      <c r="S17" s="20" t="s">
        <v>177</v>
      </c>
      <c r="T17" s="18">
        <v>34</v>
      </c>
      <c r="U17" s="18">
        <v>26</v>
      </c>
      <c r="V17" s="18">
        <v>38</v>
      </c>
      <c r="W17" s="20" t="s">
        <v>187</v>
      </c>
    </row>
    <row r="18" spans="1:23" x14ac:dyDescent="0.35">
      <c r="A18" s="18">
        <v>14</v>
      </c>
      <c r="B18" s="19" t="s">
        <v>40</v>
      </c>
      <c r="C18" s="20" t="s">
        <v>26</v>
      </c>
      <c r="D18" s="18" t="s">
        <v>156</v>
      </c>
      <c r="E18" s="18" t="s">
        <v>156</v>
      </c>
      <c r="F18" s="18" t="s">
        <v>156</v>
      </c>
      <c r="G18" s="20" t="s">
        <v>177</v>
      </c>
      <c r="H18" s="18">
        <v>23</v>
      </c>
      <c r="I18" s="18">
        <v>12</v>
      </c>
      <c r="J18" s="18">
        <v>29</v>
      </c>
      <c r="K18" s="20" t="s">
        <v>41</v>
      </c>
      <c r="L18" s="18">
        <v>25</v>
      </c>
      <c r="M18" s="18">
        <v>5</v>
      </c>
      <c r="N18" s="18">
        <v>80</v>
      </c>
      <c r="O18" s="20" t="s">
        <v>41</v>
      </c>
      <c r="P18" s="18" t="s">
        <v>156</v>
      </c>
      <c r="Q18" s="18" t="s">
        <v>156</v>
      </c>
      <c r="R18" s="18" t="s">
        <v>156</v>
      </c>
      <c r="S18" s="20" t="s">
        <v>177</v>
      </c>
      <c r="T18" s="18">
        <v>35</v>
      </c>
      <c r="U18" s="18">
        <v>27</v>
      </c>
      <c r="V18" s="18">
        <v>38</v>
      </c>
      <c r="W18" s="20" t="s">
        <v>187</v>
      </c>
    </row>
    <row r="19" spans="1:23" x14ac:dyDescent="0.35">
      <c r="A19" s="18">
        <v>15</v>
      </c>
      <c r="B19" s="19" t="s">
        <v>42</v>
      </c>
      <c r="C19" s="20" t="s">
        <v>26</v>
      </c>
      <c r="D19" s="18" t="s">
        <v>156</v>
      </c>
      <c r="E19" s="18" t="s">
        <v>156</v>
      </c>
      <c r="F19" s="18" t="s">
        <v>156</v>
      </c>
      <c r="G19" s="20" t="s">
        <v>177</v>
      </c>
      <c r="H19" s="18">
        <v>22</v>
      </c>
      <c r="I19" s="18">
        <v>10</v>
      </c>
      <c r="J19" s="18">
        <v>29</v>
      </c>
      <c r="K19" s="20" t="s">
        <v>186</v>
      </c>
      <c r="L19" s="18">
        <v>35</v>
      </c>
      <c r="M19" s="18">
        <v>10</v>
      </c>
      <c r="N19" s="18">
        <v>100</v>
      </c>
      <c r="O19" s="20" t="s">
        <v>41</v>
      </c>
      <c r="P19" s="18" t="s">
        <v>156</v>
      </c>
      <c r="Q19" s="18" t="s">
        <v>156</v>
      </c>
      <c r="R19" s="18" t="s">
        <v>156</v>
      </c>
      <c r="S19" s="20" t="s">
        <v>177</v>
      </c>
      <c r="T19" s="18">
        <v>35</v>
      </c>
      <c r="U19" s="18">
        <v>28</v>
      </c>
      <c r="V19" s="18">
        <v>38</v>
      </c>
      <c r="W19" s="20" t="s">
        <v>187</v>
      </c>
    </row>
    <row r="20" spans="1:23" ht="23" x14ac:dyDescent="0.35">
      <c r="A20" s="18">
        <v>16</v>
      </c>
      <c r="B20" s="19" t="s">
        <v>44</v>
      </c>
      <c r="C20" s="20" t="s">
        <v>26</v>
      </c>
      <c r="D20" s="18" t="s">
        <v>156</v>
      </c>
      <c r="E20" s="18" t="s">
        <v>156</v>
      </c>
      <c r="F20" s="18" t="s">
        <v>156</v>
      </c>
      <c r="G20" s="20" t="s">
        <v>177</v>
      </c>
      <c r="H20" s="18">
        <v>24</v>
      </c>
      <c r="I20" s="18">
        <v>14</v>
      </c>
      <c r="J20" s="18">
        <v>30</v>
      </c>
      <c r="K20" s="20" t="s">
        <v>189</v>
      </c>
      <c r="L20" s="18">
        <v>50</v>
      </c>
      <c r="M20" s="18">
        <v>10</v>
      </c>
      <c r="N20" s="18">
        <v>200</v>
      </c>
      <c r="O20" s="20" t="s">
        <v>190</v>
      </c>
      <c r="P20" s="18" t="s">
        <v>156</v>
      </c>
      <c r="Q20" s="18" t="s">
        <v>156</v>
      </c>
      <c r="R20" s="18" t="s">
        <v>156</v>
      </c>
      <c r="S20" s="20" t="s">
        <v>177</v>
      </c>
      <c r="T20" s="18">
        <v>35</v>
      </c>
      <c r="U20" s="18">
        <v>29</v>
      </c>
      <c r="V20" s="18">
        <v>38</v>
      </c>
      <c r="W20" s="20" t="s">
        <v>191</v>
      </c>
    </row>
    <row r="21" spans="1:23" ht="23" x14ac:dyDescent="0.35">
      <c r="A21" s="18">
        <v>17</v>
      </c>
      <c r="B21" s="19" t="s">
        <v>46</v>
      </c>
      <c r="C21" s="20" t="s">
        <v>26</v>
      </c>
      <c r="D21" s="18" t="s">
        <v>156</v>
      </c>
      <c r="E21" s="18" t="s">
        <v>156</v>
      </c>
      <c r="F21" s="18" t="s">
        <v>156</v>
      </c>
      <c r="G21" s="20" t="s">
        <v>177</v>
      </c>
      <c r="H21" s="18">
        <v>25</v>
      </c>
      <c r="I21" s="18">
        <v>15</v>
      </c>
      <c r="J21" s="18">
        <v>31</v>
      </c>
      <c r="K21" s="20" t="s">
        <v>192</v>
      </c>
      <c r="L21" s="18">
        <v>30</v>
      </c>
      <c r="M21" s="18">
        <v>5</v>
      </c>
      <c r="N21" s="18">
        <v>100</v>
      </c>
      <c r="O21" s="20" t="s">
        <v>193</v>
      </c>
      <c r="P21" s="18" t="s">
        <v>156</v>
      </c>
      <c r="Q21" s="18" t="s">
        <v>156</v>
      </c>
      <c r="R21" s="18" t="s">
        <v>156</v>
      </c>
      <c r="S21" s="20" t="s">
        <v>177</v>
      </c>
      <c r="T21" s="18">
        <v>35</v>
      </c>
      <c r="U21" s="18">
        <v>28</v>
      </c>
      <c r="V21" s="18">
        <v>38</v>
      </c>
      <c r="W21" s="20" t="s">
        <v>194</v>
      </c>
    </row>
    <row r="22" spans="1:23" ht="23" x14ac:dyDescent="0.35">
      <c r="A22" s="18">
        <v>18</v>
      </c>
      <c r="B22" s="19" t="s">
        <v>48</v>
      </c>
      <c r="C22" s="20" t="s">
        <v>26</v>
      </c>
      <c r="D22" s="18" t="s">
        <v>156</v>
      </c>
      <c r="E22" s="18" t="s">
        <v>156</v>
      </c>
      <c r="F22" s="18" t="s">
        <v>156</v>
      </c>
      <c r="G22" s="20" t="s">
        <v>177</v>
      </c>
      <c r="H22" s="18">
        <v>24</v>
      </c>
      <c r="I22" s="18">
        <v>14</v>
      </c>
      <c r="J22" s="18">
        <v>29</v>
      </c>
      <c r="K22" s="20" t="s">
        <v>195</v>
      </c>
      <c r="L22" s="18">
        <v>55</v>
      </c>
      <c r="M22" s="18">
        <v>15</v>
      </c>
      <c r="N22" s="18">
        <v>200</v>
      </c>
      <c r="O22" s="20" t="s">
        <v>196</v>
      </c>
      <c r="P22" s="18" t="s">
        <v>156</v>
      </c>
      <c r="Q22" s="18" t="s">
        <v>156</v>
      </c>
      <c r="R22" s="18" t="s">
        <v>156</v>
      </c>
      <c r="S22" s="20" t="s">
        <v>177</v>
      </c>
      <c r="T22" s="18">
        <v>36</v>
      </c>
      <c r="U22" s="18">
        <v>30</v>
      </c>
      <c r="V22" s="18">
        <v>38</v>
      </c>
      <c r="W22" s="20" t="s">
        <v>194</v>
      </c>
    </row>
    <row r="23" spans="1:23" x14ac:dyDescent="0.35">
      <c r="A23" s="18">
        <v>19</v>
      </c>
      <c r="B23" s="19" t="s">
        <v>49</v>
      </c>
      <c r="C23" s="20" t="s">
        <v>26</v>
      </c>
      <c r="D23" s="18" t="s">
        <v>156</v>
      </c>
      <c r="E23" s="18" t="s">
        <v>156</v>
      </c>
      <c r="F23" s="18" t="s">
        <v>156</v>
      </c>
      <c r="G23" s="20" t="s">
        <v>177</v>
      </c>
      <c r="H23" s="18">
        <v>26</v>
      </c>
      <c r="I23" s="18">
        <v>17</v>
      </c>
      <c r="J23" s="18">
        <v>32</v>
      </c>
      <c r="K23" s="20" t="s">
        <v>197</v>
      </c>
      <c r="L23" s="18">
        <v>25</v>
      </c>
      <c r="M23" s="18">
        <v>1</v>
      </c>
      <c r="N23" s="18">
        <v>80</v>
      </c>
      <c r="O23" s="20" t="s">
        <v>198</v>
      </c>
      <c r="P23" s="18" t="s">
        <v>156</v>
      </c>
      <c r="Q23" s="18" t="s">
        <v>156</v>
      </c>
      <c r="R23" s="18" t="s">
        <v>156</v>
      </c>
      <c r="S23" s="20" t="s">
        <v>177</v>
      </c>
      <c r="T23" s="18">
        <v>34</v>
      </c>
      <c r="U23" s="18">
        <v>22</v>
      </c>
      <c r="V23" s="18">
        <v>38</v>
      </c>
      <c r="W23" s="20" t="s">
        <v>199</v>
      </c>
    </row>
    <row r="24" spans="1:23" x14ac:dyDescent="0.35">
      <c r="A24" s="18">
        <v>20</v>
      </c>
      <c r="B24" s="19" t="s">
        <v>51</v>
      </c>
      <c r="C24" s="20" t="s">
        <v>26</v>
      </c>
      <c r="D24" s="18" t="s">
        <v>156</v>
      </c>
      <c r="E24" s="18" t="s">
        <v>156</v>
      </c>
      <c r="F24" s="18" t="s">
        <v>156</v>
      </c>
      <c r="G24" s="20" t="s">
        <v>177</v>
      </c>
      <c r="H24" s="18">
        <v>26</v>
      </c>
      <c r="I24" s="18">
        <v>18</v>
      </c>
      <c r="J24" s="18">
        <v>32</v>
      </c>
      <c r="K24" s="20" t="s">
        <v>200</v>
      </c>
      <c r="L24" s="18">
        <v>30</v>
      </c>
      <c r="M24" s="18">
        <v>5</v>
      </c>
      <c r="N24" s="18">
        <v>100</v>
      </c>
      <c r="O24" s="20" t="s">
        <v>201</v>
      </c>
      <c r="P24" s="18" t="s">
        <v>156</v>
      </c>
      <c r="Q24" s="18" t="s">
        <v>156</v>
      </c>
      <c r="R24" s="18" t="s">
        <v>156</v>
      </c>
      <c r="S24" s="20" t="s">
        <v>177</v>
      </c>
      <c r="T24" s="18">
        <v>35</v>
      </c>
      <c r="U24" s="18">
        <v>28</v>
      </c>
      <c r="V24" s="18">
        <v>38</v>
      </c>
      <c r="W24" s="20" t="s">
        <v>201</v>
      </c>
    </row>
    <row r="25" spans="1:23" ht="23" x14ac:dyDescent="0.35">
      <c r="A25" s="18">
        <v>21</v>
      </c>
      <c r="B25" s="19" t="s">
        <v>53</v>
      </c>
      <c r="C25" s="20" t="s">
        <v>26</v>
      </c>
      <c r="D25" s="18" t="s">
        <v>156</v>
      </c>
      <c r="E25" s="18" t="s">
        <v>156</v>
      </c>
      <c r="F25" s="18" t="s">
        <v>156</v>
      </c>
      <c r="G25" s="20" t="s">
        <v>177</v>
      </c>
      <c r="H25" s="18">
        <v>24</v>
      </c>
      <c r="I25" s="18">
        <v>16</v>
      </c>
      <c r="J25" s="18">
        <v>30</v>
      </c>
      <c r="K25" s="20" t="s">
        <v>202</v>
      </c>
      <c r="L25" s="18">
        <v>35</v>
      </c>
      <c r="M25" s="18">
        <v>5</v>
      </c>
      <c r="N25" s="18">
        <v>100</v>
      </c>
      <c r="O25" s="20" t="s">
        <v>203</v>
      </c>
      <c r="P25" s="18" t="s">
        <v>156</v>
      </c>
      <c r="Q25" s="18" t="s">
        <v>156</v>
      </c>
      <c r="R25" s="18" t="s">
        <v>156</v>
      </c>
      <c r="S25" s="20" t="s">
        <v>177</v>
      </c>
      <c r="T25" s="18">
        <v>35</v>
      </c>
      <c r="U25" s="18">
        <v>28</v>
      </c>
      <c r="V25" s="18">
        <v>38</v>
      </c>
      <c r="W25" s="20" t="s">
        <v>204</v>
      </c>
    </row>
    <row r="26" spans="1:23" ht="23" x14ac:dyDescent="0.35">
      <c r="A26" s="18">
        <v>22</v>
      </c>
      <c r="B26" s="19" t="s">
        <v>55</v>
      </c>
      <c r="C26" s="20" t="s">
        <v>26</v>
      </c>
      <c r="D26" s="18" t="s">
        <v>156</v>
      </c>
      <c r="E26" s="18" t="s">
        <v>156</v>
      </c>
      <c r="F26" s="18" t="s">
        <v>156</v>
      </c>
      <c r="G26" s="20" t="s">
        <v>177</v>
      </c>
      <c r="H26" s="18">
        <v>25</v>
      </c>
      <c r="I26" s="18">
        <v>16</v>
      </c>
      <c r="J26" s="18">
        <v>30</v>
      </c>
      <c r="K26" s="20" t="s">
        <v>56</v>
      </c>
      <c r="L26" s="18">
        <v>35</v>
      </c>
      <c r="M26" s="18">
        <v>5</v>
      </c>
      <c r="N26" s="18">
        <v>120</v>
      </c>
      <c r="O26" s="20" t="s">
        <v>205</v>
      </c>
      <c r="P26" s="18" t="s">
        <v>156</v>
      </c>
      <c r="Q26" s="18" t="s">
        <v>156</v>
      </c>
      <c r="R26" s="18" t="s">
        <v>156</v>
      </c>
      <c r="S26" s="20" t="s">
        <v>177</v>
      </c>
      <c r="T26" s="18">
        <v>35</v>
      </c>
      <c r="U26" s="18">
        <v>29</v>
      </c>
      <c r="V26" s="18">
        <v>38</v>
      </c>
      <c r="W26" s="20" t="s">
        <v>176</v>
      </c>
    </row>
    <row r="27" spans="1:23" x14ac:dyDescent="0.35">
      <c r="A27" s="18">
        <v>23</v>
      </c>
      <c r="B27" s="19" t="s">
        <v>57</v>
      </c>
      <c r="C27" s="20" t="s">
        <v>26</v>
      </c>
      <c r="D27" s="18" t="s">
        <v>156</v>
      </c>
      <c r="E27" s="18" t="s">
        <v>156</v>
      </c>
      <c r="F27" s="18" t="s">
        <v>156</v>
      </c>
      <c r="G27" s="20" t="s">
        <v>177</v>
      </c>
      <c r="H27" s="18">
        <v>25</v>
      </c>
      <c r="I27" s="18">
        <v>16</v>
      </c>
      <c r="J27" s="18">
        <v>30</v>
      </c>
      <c r="K27" s="20" t="s">
        <v>206</v>
      </c>
      <c r="L27" s="18">
        <v>30</v>
      </c>
      <c r="M27" s="18">
        <v>5</v>
      </c>
      <c r="N27" s="18">
        <v>100</v>
      </c>
      <c r="O27" s="20" t="s">
        <v>179</v>
      </c>
      <c r="P27" s="18" t="s">
        <v>156</v>
      </c>
      <c r="Q27" s="18" t="s">
        <v>156</v>
      </c>
      <c r="R27" s="18" t="s">
        <v>156</v>
      </c>
      <c r="S27" s="20" t="s">
        <v>177</v>
      </c>
      <c r="T27" s="18">
        <v>35</v>
      </c>
      <c r="U27" s="18">
        <v>29</v>
      </c>
      <c r="V27" s="18">
        <v>38</v>
      </c>
      <c r="W27" s="20" t="s">
        <v>176</v>
      </c>
    </row>
    <row r="28" spans="1:23" x14ac:dyDescent="0.35">
      <c r="A28" s="18">
        <v>24</v>
      </c>
      <c r="B28" s="19" t="s">
        <v>59</v>
      </c>
      <c r="C28" s="20" t="s">
        <v>26</v>
      </c>
      <c r="D28" s="18" t="s">
        <v>156</v>
      </c>
      <c r="E28" s="18" t="s">
        <v>156</v>
      </c>
      <c r="F28" s="18" t="s">
        <v>156</v>
      </c>
      <c r="G28" s="20" t="s">
        <v>177</v>
      </c>
      <c r="H28" s="18">
        <v>26</v>
      </c>
      <c r="I28" s="18">
        <v>18</v>
      </c>
      <c r="J28" s="18">
        <v>31</v>
      </c>
      <c r="K28" s="20" t="s">
        <v>206</v>
      </c>
      <c r="L28" s="18">
        <v>30</v>
      </c>
      <c r="M28" s="18">
        <v>5</v>
      </c>
      <c r="N28" s="18">
        <v>100</v>
      </c>
      <c r="O28" s="20" t="s">
        <v>205</v>
      </c>
      <c r="P28" s="18" t="s">
        <v>156</v>
      </c>
      <c r="Q28" s="18" t="s">
        <v>156</v>
      </c>
      <c r="R28" s="18" t="s">
        <v>156</v>
      </c>
      <c r="S28" s="20" t="s">
        <v>177</v>
      </c>
      <c r="T28" s="18">
        <v>35</v>
      </c>
      <c r="U28" s="18">
        <v>28</v>
      </c>
      <c r="V28" s="18">
        <v>38</v>
      </c>
      <c r="W28" s="20" t="s">
        <v>176</v>
      </c>
    </row>
    <row r="29" spans="1:23" ht="23" x14ac:dyDescent="0.35">
      <c r="A29" s="18">
        <v>25</v>
      </c>
      <c r="B29" s="19" t="s">
        <v>61</v>
      </c>
      <c r="C29" s="20" t="s">
        <v>26</v>
      </c>
      <c r="D29" s="18" t="s">
        <v>156</v>
      </c>
      <c r="E29" s="18" t="s">
        <v>156</v>
      </c>
      <c r="F29" s="18" t="s">
        <v>156</v>
      </c>
      <c r="G29" s="20" t="s">
        <v>177</v>
      </c>
      <c r="H29" s="18">
        <v>26</v>
      </c>
      <c r="I29" s="18">
        <v>18</v>
      </c>
      <c r="J29" s="18">
        <v>31</v>
      </c>
      <c r="K29" s="20" t="s">
        <v>207</v>
      </c>
      <c r="L29" s="18">
        <v>25</v>
      </c>
      <c r="M29" s="18">
        <v>3</v>
      </c>
      <c r="N29" s="18">
        <v>80</v>
      </c>
      <c r="O29" s="20" t="s">
        <v>205</v>
      </c>
      <c r="P29" s="18" t="s">
        <v>156</v>
      </c>
      <c r="Q29" s="18" t="s">
        <v>156</v>
      </c>
      <c r="R29" s="18" t="s">
        <v>156</v>
      </c>
      <c r="S29" s="20" t="s">
        <v>177</v>
      </c>
      <c r="T29" s="18">
        <v>35</v>
      </c>
      <c r="U29" s="18">
        <v>28</v>
      </c>
      <c r="V29" s="18">
        <v>38</v>
      </c>
      <c r="W29" s="20" t="s">
        <v>176</v>
      </c>
    </row>
    <row r="30" spans="1:23" ht="23" x14ac:dyDescent="0.35">
      <c r="A30" s="18">
        <v>26</v>
      </c>
      <c r="B30" s="19" t="s">
        <v>63</v>
      </c>
      <c r="C30" s="20" t="s">
        <v>26</v>
      </c>
      <c r="D30" s="18" t="s">
        <v>156</v>
      </c>
      <c r="E30" s="18" t="s">
        <v>156</v>
      </c>
      <c r="F30" s="18" t="s">
        <v>156</v>
      </c>
      <c r="G30" s="20" t="s">
        <v>177</v>
      </c>
      <c r="H30" s="18">
        <v>26</v>
      </c>
      <c r="I30" s="18">
        <v>18</v>
      </c>
      <c r="J30" s="18">
        <v>31</v>
      </c>
      <c r="K30" s="20" t="s">
        <v>208</v>
      </c>
      <c r="L30" s="18">
        <v>30</v>
      </c>
      <c r="M30" s="18">
        <v>5</v>
      </c>
      <c r="N30" s="18">
        <v>100</v>
      </c>
      <c r="O30" s="20" t="s">
        <v>205</v>
      </c>
      <c r="P30" s="18" t="s">
        <v>156</v>
      </c>
      <c r="Q30" s="18" t="s">
        <v>156</v>
      </c>
      <c r="R30" s="18" t="s">
        <v>156</v>
      </c>
      <c r="S30" s="20" t="s">
        <v>177</v>
      </c>
      <c r="T30" s="18">
        <v>35</v>
      </c>
      <c r="U30" s="18">
        <v>29</v>
      </c>
      <c r="V30" s="18">
        <v>38</v>
      </c>
      <c r="W30" s="20" t="s">
        <v>176</v>
      </c>
    </row>
    <row r="31" spans="1:23" ht="23" x14ac:dyDescent="0.35">
      <c r="A31" s="18">
        <v>27</v>
      </c>
      <c r="B31" s="19" t="s">
        <v>65</v>
      </c>
      <c r="C31" s="20" t="s">
        <v>26</v>
      </c>
      <c r="D31" s="18" t="s">
        <v>156</v>
      </c>
      <c r="E31" s="18" t="s">
        <v>156</v>
      </c>
      <c r="F31" s="18" t="s">
        <v>156</v>
      </c>
      <c r="G31" s="20" t="s">
        <v>177</v>
      </c>
      <c r="H31" s="18">
        <v>24</v>
      </c>
      <c r="I31" s="18">
        <v>15</v>
      </c>
      <c r="J31" s="18">
        <v>30</v>
      </c>
      <c r="K31" s="20" t="s">
        <v>209</v>
      </c>
      <c r="L31" s="18">
        <v>35</v>
      </c>
      <c r="M31" s="18">
        <v>5</v>
      </c>
      <c r="N31" s="18">
        <v>120</v>
      </c>
      <c r="O31" s="20" t="s">
        <v>210</v>
      </c>
      <c r="P31" s="18" t="s">
        <v>156</v>
      </c>
      <c r="Q31" s="18" t="s">
        <v>156</v>
      </c>
      <c r="R31" s="18" t="s">
        <v>156</v>
      </c>
      <c r="S31" s="20" t="s">
        <v>177</v>
      </c>
      <c r="T31" s="18">
        <v>35</v>
      </c>
      <c r="U31" s="18">
        <v>28</v>
      </c>
      <c r="V31" s="18">
        <v>38</v>
      </c>
      <c r="W31" s="20" t="s">
        <v>211</v>
      </c>
    </row>
    <row r="32" spans="1:23" ht="23" x14ac:dyDescent="0.35">
      <c r="A32" s="18">
        <v>28</v>
      </c>
      <c r="B32" s="19" t="s">
        <v>67</v>
      </c>
      <c r="C32" s="20" t="s">
        <v>26</v>
      </c>
      <c r="D32" s="18" t="s">
        <v>156</v>
      </c>
      <c r="E32" s="18" t="s">
        <v>156</v>
      </c>
      <c r="F32" s="18" t="s">
        <v>156</v>
      </c>
      <c r="G32" s="20" t="s">
        <v>177</v>
      </c>
      <c r="H32" s="18">
        <v>26</v>
      </c>
      <c r="I32" s="18">
        <v>18</v>
      </c>
      <c r="J32" s="18">
        <v>31</v>
      </c>
      <c r="K32" s="20" t="s">
        <v>212</v>
      </c>
      <c r="L32" s="18">
        <v>25</v>
      </c>
      <c r="M32" s="18">
        <v>3</v>
      </c>
      <c r="N32" s="18">
        <v>80</v>
      </c>
      <c r="O32" s="20" t="s">
        <v>213</v>
      </c>
      <c r="P32" s="18" t="s">
        <v>156</v>
      </c>
      <c r="Q32" s="18" t="s">
        <v>156</v>
      </c>
      <c r="R32" s="18" t="s">
        <v>156</v>
      </c>
      <c r="S32" s="20" t="s">
        <v>177</v>
      </c>
      <c r="T32" s="18">
        <v>35</v>
      </c>
      <c r="U32" s="18">
        <v>28</v>
      </c>
      <c r="V32" s="18">
        <v>38</v>
      </c>
      <c r="W32" s="20" t="s">
        <v>214</v>
      </c>
    </row>
    <row r="33" spans="1:23" ht="23" x14ac:dyDescent="0.35">
      <c r="A33" s="18">
        <v>29</v>
      </c>
      <c r="B33" s="19" t="s">
        <v>69</v>
      </c>
      <c r="C33" s="20" t="s">
        <v>26</v>
      </c>
      <c r="D33" s="18" t="s">
        <v>156</v>
      </c>
      <c r="E33" s="18" t="s">
        <v>156</v>
      </c>
      <c r="F33" s="18" t="s">
        <v>156</v>
      </c>
      <c r="G33" s="20" t="s">
        <v>177</v>
      </c>
      <c r="H33" s="18">
        <v>26</v>
      </c>
      <c r="I33" s="18">
        <v>16</v>
      </c>
      <c r="J33" s="18">
        <v>31</v>
      </c>
      <c r="K33" s="20" t="s">
        <v>215</v>
      </c>
      <c r="L33" s="18">
        <v>35</v>
      </c>
      <c r="M33" s="18">
        <v>1</v>
      </c>
      <c r="N33" s="18">
        <v>300</v>
      </c>
      <c r="O33" s="20" t="s">
        <v>216</v>
      </c>
      <c r="P33" s="18" t="s">
        <v>156</v>
      </c>
      <c r="Q33" s="18" t="s">
        <v>156</v>
      </c>
      <c r="R33" s="18" t="s">
        <v>156</v>
      </c>
      <c r="S33" s="20" t="s">
        <v>177</v>
      </c>
      <c r="T33" s="18">
        <v>35</v>
      </c>
      <c r="U33" s="18">
        <v>28</v>
      </c>
      <c r="V33" s="18">
        <v>38</v>
      </c>
      <c r="W33" s="20" t="s">
        <v>217</v>
      </c>
    </row>
    <row r="34" spans="1:23" ht="23" x14ac:dyDescent="0.35">
      <c r="A34" s="18">
        <v>30</v>
      </c>
      <c r="B34" s="19" t="s">
        <v>71</v>
      </c>
      <c r="C34" s="20" t="s">
        <v>26</v>
      </c>
      <c r="D34" s="18" t="s">
        <v>156</v>
      </c>
      <c r="E34" s="18" t="s">
        <v>156</v>
      </c>
      <c r="F34" s="18" t="s">
        <v>156</v>
      </c>
      <c r="G34" s="20" t="s">
        <v>177</v>
      </c>
      <c r="H34" s="18">
        <v>27</v>
      </c>
      <c r="I34" s="18">
        <v>18</v>
      </c>
      <c r="J34" s="18">
        <v>31</v>
      </c>
      <c r="K34" s="20" t="s">
        <v>218</v>
      </c>
      <c r="L34" s="18">
        <v>20</v>
      </c>
      <c r="M34" s="18">
        <v>1</v>
      </c>
      <c r="N34" s="18">
        <v>100</v>
      </c>
      <c r="O34" s="20" t="s">
        <v>219</v>
      </c>
      <c r="P34" s="18" t="s">
        <v>156</v>
      </c>
      <c r="Q34" s="18" t="s">
        <v>156</v>
      </c>
      <c r="R34" s="18" t="s">
        <v>156</v>
      </c>
      <c r="S34" s="20" t="s">
        <v>177</v>
      </c>
      <c r="T34" s="18">
        <v>35</v>
      </c>
      <c r="U34" s="18">
        <v>28</v>
      </c>
      <c r="V34" s="18">
        <v>38</v>
      </c>
      <c r="W34" s="20" t="s">
        <v>217</v>
      </c>
    </row>
    <row r="35" spans="1:23" ht="23" x14ac:dyDescent="0.35">
      <c r="A35" s="18">
        <v>31</v>
      </c>
      <c r="B35" s="19" t="s">
        <v>73</v>
      </c>
      <c r="C35" s="20" t="s">
        <v>26</v>
      </c>
      <c r="D35" s="18" t="s">
        <v>156</v>
      </c>
      <c r="E35" s="18" t="s">
        <v>156</v>
      </c>
      <c r="F35" s="18" t="s">
        <v>156</v>
      </c>
      <c r="G35" s="20" t="s">
        <v>177</v>
      </c>
      <c r="H35" s="18">
        <v>25</v>
      </c>
      <c r="I35" s="18">
        <v>16</v>
      </c>
      <c r="J35" s="18">
        <v>31</v>
      </c>
      <c r="K35" s="20" t="s">
        <v>220</v>
      </c>
      <c r="L35" s="18">
        <v>40</v>
      </c>
      <c r="M35" s="18">
        <v>3</v>
      </c>
      <c r="N35" s="18">
        <v>300</v>
      </c>
      <c r="O35" s="20" t="s">
        <v>221</v>
      </c>
      <c r="P35" s="18" t="s">
        <v>156</v>
      </c>
      <c r="Q35" s="18" t="s">
        <v>156</v>
      </c>
      <c r="R35" s="18" t="s">
        <v>156</v>
      </c>
      <c r="S35" s="20" t="s">
        <v>177</v>
      </c>
      <c r="T35" s="18">
        <v>35</v>
      </c>
      <c r="U35" s="18">
        <v>28</v>
      </c>
      <c r="V35" s="18">
        <v>38</v>
      </c>
      <c r="W35" s="20" t="s">
        <v>217</v>
      </c>
    </row>
    <row r="36" spans="1:23" ht="23" x14ac:dyDescent="0.35">
      <c r="A36" s="18">
        <v>32</v>
      </c>
      <c r="B36" s="19" t="s">
        <v>75</v>
      </c>
      <c r="C36" s="20" t="s">
        <v>26</v>
      </c>
      <c r="D36" s="18" t="s">
        <v>156</v>
      </c>
      <c r="E36" s="18" t="s">
        <v>156</v>
      </c>
      <c r="F36" s="18" t="s">
        <v>156</v>
      </c>
      <c r="G36" s="20" t="s">
        <v>177</v>
      </c>
      <c r="H36" s="18">
        <v>27</v>
      </c>
      <c r="I36" s="18">
        <v>19</v>
      </c>
      <c r="J36" s="18">
        <v>31</v>
      </c>
      <c r="K36" s="20" t="s">
        <v>222</v>
      </c>
      <c r="L36" s="18">
        <v>25</v>
      </c>
      <c r="M36" s="18">
        <v>3</v>
      </c>
      <c r="N36" s="18">
        <v>80</v>
      </c>
      <c r="O36" s="20" t="s">
        <v>179</v>
      </c>
      <c r="P36" s="18" t="s">
        <v>156</v>
      </c>
      <c r="Q36" s="18" t="s">
        <v>156</v>
      </c>
      <c r="R36" s="18" t="s">
        <v>156</v>
      </c>
      <c r="S36" s="20" t="s">
        <v>177</v>
      </c>
      <c r="T36" s="18">
        <v>35</v>
      </c>
      <c r="U36" s="18">
        <v>29</v>
      </c>
      <c r="V36" s="18">
        <v>38</v>
      </c>
      <c r="W36" s="20" t="s">
        <v>223</v>
      </c>
    </row>
    <row r="37" spans="1:23" ht="23" x14ac:dyDescent="0.35">
      <c r="A37" s="18">
        <v>33</v>
      </c>
      <c r="B37" s="19" t="s">
        <v>77</v>
      </c>
      <c r="C37" s="20" t="s">
        <v>26</v>
      </c>
      <c r="D37" s="18" t="s">
        <v>156</v>
      </c>
      <c r="E37" s="18" t="s">
        <v>156</v>
      </c>
      <c r="F37" s="18" t="s">
        <v>156</v>
      </c>
      <c r="G37" s="20" t="s">
        <v>177</v>
      </c>
      <c r="H37" s="18">
        <v>26</v>
      </c>
      <c r="I37" s="18">
        <v>18</v>
      </c>
      <c r="J37" s="18">
        <v>31</v>
      </c>
      <c r="K37" s="20" t="s">
        <v>224</v>
      </c>
      <c r="L37" s="18">
        <v>25</v>
      </c>
      <c r="M37" s="18">
        <v>3</v>
      </c>
      <c r="N37" s="18">
        <v>80</v>
      </c>
      <c r="O37" s="20" t="s">
        <v>179</v>
      </c>
      <c r="P37" s="18" t="s">
        <v>156</v>
      </c>
      <c r="Q37" s="18" t="s">
        <v>156</v>
      </c>
      <c r="R37" s="18" t="s">
        <v>156</v>
      </c>
      <c r="S37" s="20" t="s">
        <v>177</v>
      </c>
      <c r="T37" s="18">
        <v>35</v>
      </c>
      <c r="U37" s="18">
        <v>28</v>
      </c>
      <c r="V37" s="18">
        <v>38</v>
      </c>
      <c r="W37" s="20" t="s">
        <v>225</v>
      </c>
    </row>
    <row r="38" spans="1:23" ht="23" x14ac:dyDescent="0.35">
      <c r="A38" s="18">
        <v>34</v>
      </c>
      <c r="B38" s="19" t="s">
        <v>79</v>
      </c>
      <c r="C38" s="20" t="s">
        <v>26</v>
      </c>
      <c r="D38" s="18" t="s">
        <v>156</v>
      </c>
      <c r="E38" s="18" t="s">
        <v>156</v>
      </c>
      <c r="F38" s="18" t="s">
        <v>156</v>
      </c>
      <c r="G38" s="20" t="s">
        <v>177</v>
      </c>
      <c r="H38" s="18">
        <v>23</v>
      </c>
      <c r="I38" s="18">
        <v>14</v>
      </c>
      <c r="J38" s="18">
        <v>29</v>
      </c>
      <c r="K38" s="20" t="s">
        <v>226</v>
      </c>
      <c r="L38" s="18">
        <v>60</v>
      </c>
      <c r="M38" s="18">
        <v>20</v>
      </c>
      <c r="N38" s="18">
        <v>200</v>
      </c>
      <c r="O38" s="20" t="s">
        <v>227</v>
      </c>
      <c r="P38" s="18" t="s">
        <v>156</v>
      </c>
      <c r="Q38" s="18" t="s">
        <v>156</v>
      </c>
      <c r="R38" s="18" t="s">
        <v>156</v>
      </c>
      <c r="S38" s="20" t="s">
        <v>177</v>
      </c>
      <c r="T38" s="18">
        <v>36</v>
      </c>
      <c r="U38" s="18">
        <v>30</v>
      </c>
      <c r="V38" s="18">
        <v>38</v>
      </c>
      <c r="W38" s="20" t="s">
        <v>228</v>
      </c>
    </row>
    <row r="39" spans="1:23" ht="23" x14ac:dyDescent="0.35">
      <c r="A39" s="18">
        <v>35</v>
      </c>
      <c r="B39" s="19" t="s">
        <v>81</v>
      </c>
      <c r="C39" s="20" t="s">
        <v>26</v>
      </c>
      <c r="D39" s="18" t="s">
        <v>156</v>
      </c>
      <c r="E39" s="18" t="s">
        <v>156</v>
      </c>
      <c r="F39" s="18" t="s">
        <v>156</v>
      </c>
      <c r="G39" s="20" t="s">
        <v>177</v>
      </c>
      <c r="H39" s="18">
        <v>27</v>
      </c>
      <c r="I39" s="18">
        <v>19</v>
      </c>
      <c r="J39" s="18">
        <v>31</v>
      </c>
      <c r="K39" s="20" t="s">
        <v>229</v>
      </c>
      <c r="L39" s="18">
        <v>25</v>
      </c>
      <c r="M39" s="18">
        <v>3</v>
      </c>
      <c r="N39" s="18">
        <v>80</v>
      </c>
      <c r="O39" s="20" t="s">
        <v>205</v>
      </c>
      <c r="P39" s="18" t="s">
        <v>156</v>
      </c>
      <c r="Q39" s="18" t="s">
        <v>156</v>
      </c>
      <c r="R39" s="18" t="s">
        <v>156</v>
      </c>
      <c r="S39" s="20" t="s">
        <v>177</v>
      </c>
      <c r="T39" s="18">
        <v>36</v>
      </c>
      <c r="U39" s="18">
        <v>30</v>
      </c>
      <c r="V39" s="18">
        <v>38</v>
      </c>
      <c r="W39" s="20" t="s">
        <v>230</v>
      </c>
    </row>
    <row r="40" spans="1:23" ht="23" x14ac:dyDescent="0.35">
      <c r="A40" s="18">
        <v>36</v>
      </c>
      <c r="B40" s="19" t="s">
        <v>83</v>
      </c>
      <c r="C40" s="20" t="s">
        <v>26</v>
      </c>
      <c r="D40" s="18" t="s">
        <v>156</v>
      </c>
      <c r="E40" s="18" t="s">
        <v>156</v>
      </c>
      <c r="F40" s="18" t="s">
        <v>156</v>
      </c>
      <c r="G40" s="20" t="s">
        <v>177</v>
      </c>
      <c r="H40" s="18">
        <v>27</v>
      </c>
      <c r="I40" s="18">
        <v>19</v>
      </c>
      <c r="J40" s="18">
        <v>31</v>
      </c>
      <c r="K40" s="20" t="s">
        <v>231</v>
      </c>
      <c r="L40" s="18">
        <v>20</v>
      </c>
      <c r="M40" s="18">
        <v>1</v>
      </c>
      <c r="N40" s="18">
        <v>60</v>
      </c>
      <c r="O40" s="20" t="s">
        <v>205</v>
      </c>
      <c r="P40" s="18" t="s">
        <v>156</v>
      </c>
      <c r="Q40" s="18" t="s">
        <v>156</v>
      </c>
      <c r="R40" s="18" t="s">
        <v>156</v>
      </c>
      <c r="S40" s="20" t="s">
        <v>177</v>
      </c>
      <c r="T40" s="18">
        <v>35</v>
      </c>
      <c r="U40" s="18">
        <v>28</v>
      </c>
      <c r="V40" s="18">
        <v>38</v>
      </c>
      <c r="W40" s="20" t="s">
        <v>232</v>
      </c>
    </row>
    <row r="41" spans="1:23" ht="23" x14ac:dyDescent="0.35">
      <c r="A41" s="22">
        <v>37</v>
      </c>
      <c r="B41" s="23" t="s">
        <v>85</v>
      </c>
      <c r="C41" s="24" t="s">
        <v>26</v>
      </c>
      <c r="D41" s="22" t="s">
        <v>156</v>
      </c>
      <c r="E41" s="22" t="s">
        <v>156</v>
      </c>
      <c r="F41" s="22" t="s">
        <v>156</v>
      </c>
      <c r="G41" s="24" t="s">
        <v>177</v>
      </c>
      <c r="H41" s="22">
        <v>25</v>
      </c>
      <c r="I41" s="22">
        <v>16</v>
      </c>
      <c r="J41" s="22">
        <v>30</v>
      </c>
      <c r="K41" s="24" t="s">
        <v>233</v>
      </c>
      <c r="L41" s="22">
        <v>35</v>
      </c>
      <c r="M41" s="22">
        <v>5</v>
      </c>
      <c r="N41" s="22">
        <v>100</v>
      </c>
      <c r="O41" s="24" t="s">
        <v>205</v>
      </c>
      <c r="P41" s="22" t="s">
        <v>156</v>
      </c>
      <c r="Q41" s="22" t="s">
        <v>156</v>
      </c>
      <c r="R41" s="22" t="s">
        <v>156</v>
      </c>
      <c r="S41" s="24" t="s">
        <v>177</v>
      </c>
      <c r="T41" s="22">
        <v>35</v>
      </c>
      <c r="U41" s="22">
        <v>28</v>
      </c>
      <c r="V41" s="22">
        <v>38</v>
      </c>
      <c r="W41" s="24" t="s">
        <v>234</v>
      </c>
    </row>
    <row r="42" spans="1:23" ht="23" x14ac:dyDescent="0.35">
      <c r="A42" s="6">
        <v>38</v>
      </c>
      <c r="B42" s="7" t="s">
        <v>87</v>
      </c>
      <c r="C42" s="8" t="s">
        <v>15</v>
      </c>
      <c r="D42" s="6" t="s">
        <v>156</v>
      </c>
      <c r="E42" s="6" t="s">
        <v>156</v>
      </c>
      <c r="F42" s="6" t="s">
        <v>156</v>
      </c>
      <c r="G42" s="8" t="s">
        <v>160</v>
      </c>
      <c r="H42" s="6">
        <v>25</v>
      </c>
      <c r="I42" s="6">
        <v>15</v>
      </c>
      <c r="J42" s="6">
        <v>30</v>
      </c>
      <c r="K42" s="8" t="s">
        <v>235</v>
      </c>
      <c r="L42" s="6">
        <v>20</v>
      </c>
      <c r="M42" s="6">
        <v>2</v>
      </c>
      <c r="N42" s="6">
        <v>80</v>
      </c>
      <c r="O42" s="8" t="s">
        <v>210</v>
      </c>
      <c r="P42" s="6" t="s">
        <v>156</v>
      </c>
      <c r="Q42" s="6" t="s">
        <v>156</v>
      </c>
      <c r="R42" s="6" t="s">
        <v>156</v>
      </c>
      <c r="S42" s="8" t="s">
        <v>160</v>
      </c>
      <c r="T42" s="6">
        <v>35</v>
      </c>
      <c r="U42" s="6">
        <v>28</v>
      </c>
      <c r="V42" s="6">
        <v>38</v>
      </c>
      <c r="W42" s="8" t="s">
        <v>236</v>
      </c>
    </row>
    <row r="43" spans="1:23" ht="23" x14ac:dyDescent="0.35">
      <c r="A43" s="10">
        <v>39</v>
      </c>
      <c r="B43" s="11" t="s">
        <v>89</v>
      </c>
      <c r="C43" s="12" t="s">
        <v>15</v>
      </c>
      <c r="D43" s="10" t="s">
        <v>156</v>
      </c>
      <c r="E43" s="10" t="s">
        <v>156</v>
      </c>
      <c r="F43" s="10" t="s">
        <v>156</v>
      </c>
      <c r="G43" s="12" t="s">
        <v>160</v>
      </c>
      <c r="H43" s="10">
        <v>25</v>
      </c>
      <c r="I43" s="10">
        <v>14</v>
      </c>
      <c r="J43" s="10">
        <v>30</v>
      </c>
      <c r="K43" s="12" t="s">
        <v>237</v>
      </c>
      <c r="L43" s="10">
        <v>25</v>
      </c>
      <c r="M43" s="10">
        <v>2</v>
      </c>
      <c r="N43" s="10">
        <v>100</v>
      </c>
      <c r="O43" s="12" t="s">
        <v>238</v>
      </c>
      <c r="P43" s="10" t="s">
        <v>156</v>
      </c>
      <c r="Q43" s="10" t="s">
        <v>156</v>
      </c>
      <c r="R43" s="10" t="s">
        <v>156</v>
      </c>
      <c r="S43" s="12" t="s">
        <v>160</v>
      </c>
      <c r="T43" s="10">
        <v>35</v>
      </c>
      <c r="U43" s="10">
        <v>27</v>
      </c>
      <c r="V43" s="10">
        <v>38</v>
      </c>
      <c r="W43" s="12" t="s">
        <v>239</v>
      </c>
    </row>
    <row r="44" spans="1:23" ht="23" x14ac:dyDescent="0.35">
      <c r="A44" s="22">
        <v>40</v>
      </c>
      <c r="B44" s="23" t="s">
        <v>91</v>
      </c>
      <c r="C44" s="24" t="s">
        <v>26</v>
      </c>
      <c r="D44" s="22" t="s">
        <v>156</v>
      </c>
      <c r="E44" s="22" t="s">
        <v>156</v>
      </c>
      <c r="F44" s="22" t="s">
        <v>156</v>
      </c>
      <c r="G44" s="24" t="s">
        <v>177</v>
      </c>
      <c r="H44" s="22">
        <v>26</v>
      </c>
      <c r="I44" s="22">
        <v>18</v>
      </c>
      <c r="J44" s="22">
        <v>31</v>
      </c>
      <c r="K44" s="24" t="s">
        <v>240</v>
      </c>
      <c r="L44" s="22">
        <v>20</v>
      </c>
      <c r="M44" s="22">
        <v>1</v>
      </c>
      <c r="N44" s="22">
        <v>60</v>
      </c>
      <c r="O44" s="24" t="s">
        <v>205</v>
      </c>
      <c r="P44" s="22" t="s">
        <v>156</v>
      </c>
      <c r="Q44" s="22" t="s">
        <v>156</v>
      </c>
      <c r="R44" s="22" t="s">
        <v>156</v>
      </c>
      <c r="S44" s="24" t="s">
        <v>177</v>
      </c>
      <c r="T44" s="22">
        <v>35</v>
      </c>
      <c r="U44" s="22">
        <v>28</v>
      </c>
      <c r="V44" s="22">
        <v>38</v>
      </c>
      <c r="W44" s="24" t="s">
        <v>241</v>
      </c>
    </row>
    <row r="45" spans="1:23" ht="23" x14ac:dyDescent="0.35">
      <c r="A45" s="6">
        <v>41</v>
      </c>
      <c r="B45" s="7" t="s">
        <v>93</v>
      </c>
      <c r="C45" s="8" t="s">
        <v>15</v>
      </c>
      <c r="D45" s="6" t="s">
        <v>156</v>
      </c>
      <c r="E45" s="6" t="s">
        <v>156</v>
      </c>
      <c r="F45" s="6" t="s">
        <v>156</v>
      </c>
      <c r="G45" s="8" t="s">
        <v>160</v>
      </c>
      <c r="H45" s="6">
        <v>24</v>
      </c>
      <c r="I45" s="6">
        <v>13</v>
      </c>
      <c r="J45" s="6">
        <v>30</v>
      </c>
      <c r="K45" s="8" t="s">
        <v>242</v>
      </c>
      <c r="L45" s="6">
        <v>30</v>
      </c>
      <c r="M45" s="6">
        <v>2</v>
      </c>
      <c r="N45" s="6">
        <v>120</v>
      </c>
      <c r="O45" s="8" t="s">
        <v>243</v>
      </c>
      <c r="P45" s="6" t="s">
        <v>156</v>
      </c>
      <c r="Q45" s="6" t="s">
        <v>156</v>
      </c>
      <c r="R45" s="6" t="s">
        <v>156</v>
      </c>
      <c r="S45" s="8" t="s">
        <v>160</v>
      </c>
      <c r="T45" s="6">
        <v>35</v>
      </c>
      <c r="U45" s="6">
        <v>27</v>
      </c>
      <c r="V45" s="6">
        <v>38</v>
      </c>
      <c r="W45" s="8" t="s">
        <v>176</v>
      </c>
    </row>
    <row r="46" spans="1:23" ht="23" x14ac:dyDescent="0.35">
      <c r="A46" s="6">
        <v>42</v>
      </c>
      <c r="B46" s="7" t="s">
        <v>95</v>
      </c>
      <c r="C46" s="8" t="s">
        <v>15</v>
      </c>
      <c r="D46" s="6" t="s">
        <v>156</v>
      </c>
      <c r="E46" s="6" t="s">
        <v>156</v>
      </c>
      <c r="F46" s="6" t="s">
        <v>156</v>
      </c>
      <c r="G46" s="8" t="s">
        <v>160</v>
      </c>
      <c r="H46" s="6">
        <v>24</v>
      </c>
      <c r="I46" s="6">
        <v>13</v>
      </c>
      <c r="J46" s="6">
        <v>30</v>
      </c>
      <c r="K46" s="8" t="s">
        <v>242</v>
      </c>
      <c r="L46" s="6">
        <v>25</v>
      </c>
      <c r="M46" s="6">
        <v>2</v>
      </c>
      <c r="N46" s="6">
        <v>100</v>
      </c>
      <c r="O46" s="8" t="s">
        <v>243</v>
      </c>
      <c r="P46" s="6" t="s">
        <v>156</v>
      </c>
      <c r="Q46" s="6" t="s">
        <v>156</v>
      </c>
      <c r="R46" s="6" t="s">
        <v>156</v>
      </c>
      <c r="S46" s="8" t="s">
        <v>160</v>
      </c>
      <c r="T46" s="6">
        <v>35</v>
      </c>
      <c r="U46" s="6">
        <v>27</v>
      </c>
      <c r="V46" s="6">
        <v>38</v>
      </c>
      <c r="W46" s="8" t="s">
        <v>176</v>
      </c>
    </row>
    <row r="47" spans="1:23" ht="23" x14ac:dyDescent="0.35">
      <c r="A47" s="10">
        <v>43</v>
      </c>
      <c r="B47" s="11" t="s">
        <v>96</v>
      </c>
      <c r="C47" s="12" t="s">
        <v>15</v>
      </c>
      <c r="D47" s="10" t="s">
        <v>156</v>
      </c>
      <c r="E47" s="10" t="s">
        <v>156</v>
      </c>
      <c r="F47" s="10" t="s">
        <v>156</v>
      </c>
      <c r="G47" s="12" t="s">
        <v>160</v>
      </c>
      <c r="H47" s="10">
        <v>24</v>
      </c>
      <c r="I47" s="10">
        <v>13</v>
      </c>
      <c r="J47" s="10">
        <v>30</v>
      </c>
      <c r="K47" s="12" t="s">
        <v>242</v>
      </c>
      <c r="L47" s="10">
        <v>20</v>
      </c>
      <c r="M47" s="10">
        <v>2</v>
      </c>
      <c r="N47" s="10">
        <v>100</v>
      </c>
      <c r="O47" s="12" t="s">
        <v>243</v>
      </c>
      <c r="P47" s="10" t="s">
        <v>156</v>
      </c>
      <c r="Q47" s="10" t="s">
        <v>156</v>
      </c>
      <c r="R47" s="10" t="s">
        <v>156</v>
      </c>
      <c r="S47" s="12" t="s">
        <v>160</v>
      </c>
      <c r="T47" s="10">
        <v>34</v>
      </c>
      <c r="U47" s="10">
        <v>26</v>
      </c>
      <c r="V47" s="10">
        <v>38</v>
      </c>
      <c r="W47" s="12" t="s">
        <v>176</v>
      </c>
    </row>
    <row r="48" spans="1:23" ht="23" x14ac:dyDescent="0.35">
      <c r="A48" s="26">
        <v>44</v>
      </c>
      <c r="B48" s="27" t="s">
        <v>97</v>
      </c>
      <c r="C48" s="28" t="s">
        <v>98</v>
      </c>
      <c r="D48" s="26">
        <v>26</v>
      </c>
      <c r="E48" s="26">
        <v>18</v>
      </c>
      <c r="F48" s="26">
        <v>31</v>
      </c>
      <c r="G48" s="28" t="s">
        <v>244</v>
      </c>
      <c r="H48" s="26" t="s">
        <v>156</v>
      </c>
      <c r="I48" s="26" t="s">
        <v>156</v>
      </c>
      <c r="J48" s="26" t="s">
        <v>156</v>
      </c>
      <c r="K48" s="28" t="s">
        <v>245</v>
      </c>
      <c r="L48" s="26">
        <v>30</v>
      </c>
      <c r="M48" s="26">
        <v>0</v>
      </c>
      <c r="N48" s="26">
        <v>200</v>
      </c>
      <c r="O48" s="28" t="s">
        <v>246</v>
      </c>
      <c r="P48" s="26">
        <v>35</v>
      </c>
      <c r="Q48" s="26">
        <v>28</v>
      </c>
      <c r="R48" s="26">
        <v>38</v>
      </c>
      <c r="S48" s="28" t="s">
        <v>247</v>
      </c>
      <c r="T48" s="26" t="s">
        <v>156</v>
      </c>
      <c r="U48" s="26" t="s">
        <v>156</v>
      </c>
      <c r="V48" s="26" t="s">
        <v>156</v>
      </c>
      <c r="W48" s="28" t="s">
        <v>245</v>
      </c>
    </row>
    <row r="49" spans="1:23" ht="23" x14ac:dyDescent="0.35">
      <c r="A49" s="26">
        <v>45</v>
      </c>
      <c r="B49" s="27" t="s">
        <v>100</v>
      </c>
      <c r="C49" s="28" t="s">
        <v>98</v>
      </c>
      <c r="D49" s="26" t="s">
        <v>156</v>
      </c>
      <c r="E49" s="26" t="s">
        <v>156</v>
      </c>
      <c r="F49" s="26" t="s">
        <v>156</v>
      </c>
      <c r="G49" s="28" t="s">
        <v>248</v>
      </c>
      <c r="H49" s="26">
        <v>25</v>
      </c>
      <c r="I49" s="26">
        <v>13</v>
      </c>
      <c r="J49" s="26">
        <v>31</v>
      </c>
      <c r="K49" s="28" t="s">
        <v>249</v>
      </c>
      <c r="L49" s="26">
        <v>20</v>
      </c>
      <c r="M49" s="26">
        <v>1</v>
      </c>
      <c r="N49" s="26">
        <v>80</v>
      </c>
      <c r="O49" s="28" t="s">
        <v>250</v>
      </c>
      <c r="P49" s="26" t="s">
        <v>156</v>
      </c>
      <c r="Q49" s="26" t="s">
        <v>156</v>
      </c>
      <c r="R49" s="26" t="s">
        <v>156</v>
      </c>
      <c r="S49" s="28" t="s">
        <v>248</v>
      </c>
      <c r="T49" s="26">
        <v>33</v>
      </c>
      <c r="U49" s="26">
        <v>20</v>
      </c>
      <c r="V49" s="26">
        <v>38</v>
      </c>
      <c r="W49" s="28" t="s">
        <v>251</v>
      </c>
    </row>
    <row r="50" spans="1:23" ht="23" x14ac:dyDescent="0.35">
      <c r="A50" s="26">
        <v>46</v>
      </c>
      <c r="B50" s="27" t="s">
        <v>102</v>
      </c>
      <c r="C50" s="28" t="s">
        <v>98</v>
      </c>
      <c r="D50" s="26" t="s">
        <v>156</v>
      </c>
      <c r="E50" s="26" t="s">
        <v>156</v>
      </c>
      <c r="F50" s="26" t="s">
        <v>156</v>
      </c>
      <c r="G50" s="28" t="s">
        <v>248</v>
      </c>
      <c r="H50" s="26">
        <v>25</v>
      </c>
      <c r="I50" s="26">
        <v>12</v>
      </c>
      <c r="J50" s="26">
        <v>31</v>
      </c>
      <c r="K50" s="28" t="s">
        <v>252</v>
      </c>
      <c r="L50" s="26">
        <v>20</v>
      </c>
      <c r="M50" s="26">
        <v>0</v>
      </c>
      <c r="N50" s="26">
        <v>100</v>
      </c>
      <c r="O50" s="28" t="s">
        <v>253</v>
      </c>
      <c r="P50" s="26" t="s">
        <v>156</v>
      </c>
      <c r="Q50" s="26" t="s">
        <v>156</v>
      </c>
      <c r="R50" s="26" t="s">
        <v>156</v>
      </c>
      <c r="S50" s="28" t="s">
        <v>248</v>
      </c>
      <c r="T50" s="26">
        <v>32</v>
      </c>
      <c r="U50" s="26">
        <v>20</v>
      </c>
      <c r="V50" s="26">
        <v>38</v>
      </c>
      <c r="W50" s="28" t="s">
        <v>254</v>
      </c>
    </row>
    <row r="51" spans="1:23" ht="23" x14ac:dyDescent="0.35">
      <c r="A51" s="26">
        <v>47</v>
      </c>
      <c r="B51" s="27" t="s">
        <v>104</v>
      </c>
      <c r="C51" s="28" t="s">
        <v>98</v>
      </c>
      <c r="D51" s="26" t="s">
        <v>156</v>
      </c>
      <c r="E51" s="26" t="s">
        <v>156</v>
      </c>
      <c r="F51" s="26" t="s">
        <v>156</v>
      </c>
      <c r="G51" s="28" t="s">
        <v>248</v>
      </c>
      <c r="H51" s="26">
        <v>24</v>
      </c>
      <c r="I51" s="26">
        <v>12</v>
      </c>
      <c r="J51" s="26">
        <v>30</v>
      </c>
      <c r="K51" s="28" t="s">
        <v>255</v>
      </c>
      <c r="L51" s="26">
        <v>20</v>
      </c>
      <c r="M51" s="26">
        <v>0</v>
      </c>
      <c r="N51" s="26">
        <v>100</v>
      </c>
      <c r="O51" s="28" t="s">
        <v>256</v>
      </c>
      <c r="P51" s="26" t="s">
        <v>156</v>
      </c>
      <c r="Q51" s="26" t="s">
        <v>156</v>
      </c>
      <c r="R51" s="26" t="s">
        <v>156</v>
      </c>
      <c r="S51" s="28" t="s">
        <v>248</v>
      </c>
      <c r="T51" s="26">
        <v>34</v>
      </c>
      <c r="U51" s="26">
        <v>26</v>
      </c>
      <c r="V51" s="26">
        <v>38</v>
      </c>
      <c r="W51" s="28" t="s">
        <v>257</v>
      </c>
    </row>
    <row r="52" spans="1:23" x14ac:dyDescent="0.35">
      <c r="A52" s="26">
        <v>48</v>
      </c>
      <c r="B52" s="27" t="s">
        <v>106</v>
      </c>
      <c r="C52" s="28" t="s">
        <v>98</v>
      </c>
      <c r="D52" s="26" t="s">
        <v>156</v>
      </c>
      <c r="E52" s="26" t="s">
        <v>156</v>
      </c>
      <c r="F52" s="26" t="s">
        <v>156</v>
      </c>
      <c r="G52" s="28" t="s">
        <v>248</v>
      </c>
      <c r="H52" s="26">
        <v>25</v>
      </c>
      <c r="I52" s="26">
        <v>13</v>
      </c>
      <c r="J52" s="26">
        <v>31</v>
      </c>
      <c r="K52" s="28" t="s">
        <v>258</v>
      </c>
      <c r="L52" s="26">
        <v>20</v>
      </c>
      <c r="M52" s="26">
        <v>0</v>
      </c>
      <c r="N52" s="26">
        <v>100</v>
      </c>
      <c r="O52" s="28" t="s">
        <v>259</v>
      </c>
      <c r="P52" s="26" t="s">
        <v>156</v>
      </c>
      <c r="Q52" s="26" t="s">
        <v>156</v>
      </c>
      <c r="R52" s="26" t="s">
        <v>156</v>
      </c>
      <c r="S52" s="28" t="s">
        <v>248</v>
      </c>
      <c r="T52" s="26">
        <v>34</v>
      </c>
      <c r="U52" s="26">
        <v>24</v>
      </c>
      <c r="V52" s="26">
        <v>38</v>
      </c>
      <c r="W52" s="28" t="s">
        <v>260</v>
      </c>
    </row>
    <row r="53" spans="1:23" x14ac:dyDescent="0.35">
      <c r="A53" s="26">
        <v>49</v>
      </c>
      <c r="B53" s="27" t="s">
        <v>108</v>
      </c>
      <c r="C53" s="28" t="s">
        <v>98</v>
      </c>
      <c r="D53" s="26" t="s">
        <v>156</v>
      </c>
      <c r="E53" s="26" t="s">
        <v>156</v>
      </c>
      <c r="F53" s="26" t="s">
        <v>156</v>
      </c>
      <c r="G53" s="28" t="s">
        <v>248</v>
      </c>
      <c r="H53" s="26">
        <v>24</v>
      </c>
      <c r="I53" s="26">
        <v>10</v>
      </c>
      <c r="J53" s="26">
        <v>30</v>
      </c>
      <c r="K53" s="28" t="s">
        <v>261</v>
      </c>
      <c r="L53" s="26">
        <v>30</v>
      </c>
      <c r="M53" s="26">
        <v>0</v>
      </c>
      <c r="N53" s="26">
        <v>200</v>
      </c>
      <c r="O53" s="28" t="s">
        <v>262</v>
      </c>
      <c r="P53" s="26" t="s">
        <v>156</v>
      </c>
      <c r="Q53" s="26" t="s">
        <v>156</v>
      </c>
      <c r="R53" s="26" t="s">
        <v>156</v>
      </c>
      <c r="S53" s="28" t="s">
        <v>248</v>
      </c>
      <c r="T53" s="26">
        <v>35</v>
      </c>
      <c r="U53" s="26">
        <v>28</v>
      </c>
      <c r="V53" s="26">
        <v>38</v>
      </c>
      <c r="W53" s="28" t="s">
        <v>263</v>
      </c>
    </row>
    <row r="54" spans="1:23" x14ac:dyDescent="0.35">
      <c r="A54" s="26">
        <v>50</v>
      </c>
      <c r="B54" s="27" t="s">
        <v>110</v>
      </c>
      <c r="C54" s="28" t="s">
        <v>98</v>
      </c>
      <c r="D54" s="26" t="s">
        <v>156</v>
      </c>
      <c r="E54" s="26" t="s">
        <v>156</v>
      </c>
      <c r="F54" s="26" t="s">
        <v>156</v>
      </c>
      <c r="G54" s="28" t="s">
        <v>248</v>
      </c>
      <c r="H54" s="26">
        <v>24</v>
      </c>
      <c r="I54" s="26">
        <v>10</v>
      </c>
      <c r="J54" s="26">
        <v>31</v>
      </c>
      <c r="K54" s="28" t="s">
        <v>113</v>
      </c>
      <c r="L54" s="26">
        <v>20</v>
      </c>
      <c r="M54" s="26">
        <v>0</v>
      </c>
      <c r="N54" s="26">
        <v>100</v>
      </c>
      <c r="O54" s="28" t="s">
        <v>264</v>
      </c>
      <c r="P54" s="26" t="s">
        <v>156</v>
      </c>
      <c r="Q54" s="26" t="s">
        <v>156</v>
      </c>
      <c r="R54" s="26" t="s">
        <v>156</v>
      </c>
      <c r="S54" s="28" t="s">
        <v>248</v>
      </c>
      <c r="T54" s="26">
        <v>34</v>
      </c>
      <c r="U54" s="26">
        <v>24</v>
      </c>
      <c r="V54" s="26">
        <v>38</v>
      </c>
      <c r="W54" s="28" t="s">
        <v>260</v>
      </c>
    </row>
    <row r="55" spans="1:23" x14ac:dyDescent="0.35">
      <c r="A55" s="26">
        <v>51</v>
      </c>
      <c r="B55" s="27" t="s">
        <v>112</v>
      </c>
      <c r="C55" s="28" t="s">
        <v>98</v>
      </c>
      <c r="D55" s="26" t="s">
        <v>156</v>
      </c>
      <c r="E55" s="26" t="s">
        <v>156</v>
      </c>
      <c r="F55" s="26" t="s">
        <v>156</v>
      </c>
      <c r="G55" s="28" t="s">
        <v>248</v>
      </c>
      <c r="H55" s="26">
        <v>23</v>
      </c>
      <c r="I55" s="26">
        <v>8</v>
      </c>
      <c r="J55" s="26">
        <v>31</v>
      </c>
      <c r="K55" s="28" t="s">
        <v>265</v>
      </c>
      <c r="L55" s="26">
        <v>15</v>
      </c>
      <c r="M55" s="26">
        <v>0</v>
      </c>
      <c r="N55" s="26">
        <v>80</v>
      </c>
      <c r="O55" s="28" t="s">
        <v>264</v>
      </c>
      <c r="P55" s="26" t="s">
        <v>156</v>
      </c>
      <c r="Q55" s="26" t="s">
        <v>156</v>
      </c>
      <c r="R55" s="26" t="s">
        <v>156</v>
      </c>
      <c r="S55" s="28" t="s">
        <v>248</v>
      </c>
      <c r="T55" s="26">
        <v>32</v>
      </c>
      <c r="U55" s="26">
        <v>20</v>
      </c>
      <c r="V55" s="26">
        <v>38</v>
      </c>
      <c r="W55" s="28" t="s">
        <v>266</v>
      </c>
    </row>
    <row r="56" spans="1:23" ht="23" x14ac:dyDescent="0.35">
      <c r="A56" s="26">
        <v>52</v>
      </c>
      <c r="B56" s="27" t="s">
        <v>114</v>
      </c>
      <c r="C56" s="28" t="s">
        <v>98</v>
      </c>
      <c r="D56" s="26" t="s">
        <v>156</v>
      </c>
      <c r="E56" s="26" t="s">
        <v>156</v>
      </c>
      <c r="F56" s="26" t="s">
        <v>156</v>
      </c>
      <c r="G56" s="28" t="s">
        <v>248</v>
      </c>
      <c r="H56" s="26">
        <v>23</v>
      </c>
      <c r="I56" s="26">
        <v>10</v>
      </c>
      <c r="J56" s="26">
        <v>30</v>
      </c>
      <c r="K56" s="28" t="s">
        <v>111</v>
      </c>
      <c r="L56" s="26">
        <v>30</v>
      </c>
      <c r="M56" s="26">
        <v>5</v>
      </c>
      <c r="N56" s="26">
        <v>150</v>
      </c>
      <c r="O56" s="28" t="s">
        <v>267</v>
      </c>
      <c r="P56" s="26" t="s">
        <v>156</v>
      </c>
      <c r="Q56" s="26" t="s">
        <v>156</v>
      </c>
      <c r="R56" s="26" t="s">
        <v>156</v>
      </c>
      <c r="S56" s="28" t="s">
        <v>248</v>
      </c>
      <c r="T56" s="26">
        <v>35</v>
      </c>
      <c r="U56" s="26">
        <v>30</v>
      </c>
      <c r="V56" s="26">
        <v>38</v>
      </c>
      <c r="W56" s="28" t="s">
        <v>113</v>
      </c>
    </row>
    <row r="57" spans="1:23" x14ac:dyDescent="0.35">
      <c r="A57" s="26">
        <v>53</v>
      </c>
      <c r="B57" s="27" t="s">
        <v>116</v>
      </c>
      <c r="C57" s="28" t="s">
        <v>98</v>
      </c>
      <c r="D57" s="26" t="s">
        <v>156</v>
      </c>
      <c r="E57" s="26" t="s">
        <v>156</v>
      </c>
      <c r="F57" s="26" t="s">
        <v>156</v>
      </c>
      <c r="G57" s="28" t="s">
        <v>248</v>
      </c>
      <c r="H57" s="26">
        <v>24</v>
      </c>
      <c r="I57" s="26">
        <v>10</v>
      </c>
      <c r="J57" s="26">
        <v>31</v>
      </c>
      <c r="K57" s="28" t="s">
        <v>113</v>
      </c>
      <c r="L57" s="26">
        <v>20</v>
      </c>
      <c r="M57" s="26">
        <v>0</v>
      </c>
      <c r="N57" s="26">
        <v>100</v>
      </c>
      <c r="O57" s="28" t="s">
        <v>264</v>
      </c>
      <c r="P57" s="26" t="s">
        <v>156</v>
      </c>
      <c r="Q57" s="26" t="s">
        <v>156</v>
      </c>
      <c r="R57" s="26" t="s">
        <v>156</v>
      </c>
      <c r="S57" s="28" t="s">
        <v>248</v>
      </c>
      <c r="T57" s="26">
        <v>33</v>
      </c>
      <c r="U57" s="26">
        <v>22</v>
      </c>
      <c r="V57" s="26">
        <v>38</v>
      </c>
      <c r="W57" s="28" t="s">
        <v>113</v>
      </c>
    </row>
    <row r="58" spans="1:23" x14ac:dyDescent="0.35">
      <c r="A58" s="26">
        <v>54</v>
      </c>
      <c r="B58" s="27" t="s">
        <v>117</v>
      </c>
      <c r="C58" s="28" t="s">
        <v>98</v>
      </c>
      <c r="D58" s="26" t="s">
        <v>156</v>
      </c>
      <c r="E58" s="26" t="s">
        <v>156</v>
      </c>
      <c r="F58" s="26" t="s">
        <v>156</v>
      </c>
      <c r="G58" s="28" t="s">
        <v>248</v>
      </c>
      <c r="H58" s="26">
        <v>24</v>
      </c>
      <c r="I58" s="26">
        <v>8</v>
      </c>
      <c r="J58" s="26">
        <v>31</v>
      </c>
      <c r="K58" s="28" t="s">
        <v>268</v>
      </c>
      <c r="L58" s="26">
        <v>20</v>
      </c>
      <c r="M58" s="26">
        <v>0</v>
      </c>
      <c r="N58" s="26">
        <v>200</v>
      </c>
      <c r="O58" s="28" t="s">
        <v>113</v>
      </c>
      <c r="P58" s="26" t="s">
        <v>156</v>
      </c>
      <c r="Q58" s="26" t="s">
        <v>156</v>
      </c>
      <c r="R58" s="26" t="s">
        <v>156</v>
      </c>
      <c r="S58" s="28" t="s">
        <v>248</v>
      </c>
      <c r="T58" s="26">
        <v>33</v>
      </c>
      <c r="U58" s="26">
        <v>20</v>
      </c>
      <c r="V58" s="26">
        <v>38</v>
      </c>
      <c r="W58" s="28" t="s">
        <v>113</v>
      </c>
    </row>
    <row r="59" spans="1:23" x14ac:dyDescent="0.35">
      <c r="A59" s="30">
        <v>55</v>
      </c>
      <c r="B59" s="31" t="s">
        <v>119</v>
      </c>
      <c r="C59" s="32" t="s">
        <v>98</v>
      </c>
      <c r="D59" s="30" t="s">
        <v>156</v>
      </c>
      <c r="E59" s="30" t="s">
        <v>156</v>
      </c>
      <c r="F59" s="30" t="s">
        <v>156</v>
      </c>
      <c r="G59" s="32" t="s">
        <v>248</v>
      </c>
      <c r="H59" s="30">
        <v>24</v>
      </c>
      <c r="I59" s="30">
        <v>8</v>
      </c>
      <c r="J59" s="30">
        <v>31</v>
      </c>
      <c r="K59" s="32" t="s">
        <v>118</v>
      </c>
      <c r="L59" s="30">
        <v>20</v>
      </c>
      <c r="M59" s="30">
        <v>0</v>
      </c>
      <c r="N59" s="30">
        <v>200</v>
      </c>
      <c r="O59" s="32" t="s">
        <v>269</v>
      </c>
      <c r="P59" s="30" t="s">
        <v>156</v>
      </c>
      <c r="Q59" s="30" t="s">
        <v>156</v>
      </c>
      <c r="R59" s="30" t="s">
        <v>156</v>
      </c>
      <c r="S59" s="32" t="s">
        <v>248</v>
      </c>
      <c r="T59" s="30">
        <v>33</v>
      </c>
      <c r="U59" s="30">
        <v>20</v>
      </c>
      <c r="V59" s="30">
        <v>38</v>
      </c>
      <c r="W59" s="32" t="s">
        <v>113</v>
      </c>
    </row>
    <row r="60" spans="1:23" ht="23" x14ac:dyDescent="0.35">
      <c r="A60" s="34">
        <v>56</v>
      </c>
      <c r="B60" s="35" t="s">
        <v>120</v>
      </c>
      <c r="C60" s="36" t="s">
        <v>121</v>
      </c>
      <c r="D60" s="34">
        <v>26</v>
      </c>
      <c r="E60" s="34">
        <v>16</v>
      </c>
      <c r="F60" s="34">
        <v>31</v>
      </c>
      <c r="G60" s="36" t="s">
        <v>270</v>
      </c>
      <c r="H60" s="34" t="s">
        <v>156</v>
      </c>
      <c r="I60" s="34" t="s">
        <v>156</v>
      </c>
      <c r="J60" s="34" t="s">
        <v>156</v>
      </c>
      <c r="K60" s="36" t="s">
        <v>157</v>
      </c>
      <c r="L60" s="34">
        <v>30</v>
      </c>
      <c r="M60" s="34">
        <v>0</v>
      </c>
      <c r="N60" s="34">
        <v>200</v>
      </c>
      <c r="O60" s="36" t="s">
        <v>113</v>
      </c>
      <c r="P60" s="34">
        <v>35</v>
      </c>
      <c r="Q60" s="34">
        <v>28</v>
      </c>
      <c r="R60" s="34">
        <v>38</v>
      </c>
      <c r="S60" s="36" t="s">
        <v>113</v>
      </c>
      <c r="T60" s="34" t="s">
        <v>156</v>
      </c>
      <c r="U60" s="34" t="s">
        <v>156</v>
      </c>
      <c r="V60" s="34" t="s">
        <v>156</v>
      </c>
      <c r="W60" s="36" t="s">
        <v>157</v>
      </c>
    </row>
    <row r="61" spans="1:23" x14ac:dyDescent="0.35">
      <c r="A61" s="34">
        <v>57</v>
      </c>
      <c r="B61" s="35" t="s">
        <v>123</v>
      </c>
      <c r="C61" s="36" t="s">
        <v>121</v>
      </c>
      <c r="D61" s="34">
        <v>26</v>
      </c>
      <c r="E61" s="34">
        <v>16</v>
      </c>
      <c r="F61" s="34">
        <v>31</v>
      </c>
      <c r="G61" s="36" t="s">
        <v>113</v>
      </c>
      <c r="H61" s="34" t="s">
        <v>156</v>
      </c>
      <c r="I61" s="34" t="s">
        <v>156</v>
      </c>
      <c r="J61" s="34" t="s">
        <v>156</v>
      </c>
      <c r="K61" s="36" t="s">
        <v>157</v>
      </c>
      <c r="L61" s="34">
        <v>20</v>
      </c>
      <c r="M61" s="34">
        <v>0</v>
      </c>
      <c r="N61" s="34">
        <v>150</v>
      </c>
      <c r="O61" s="36" t="s">
        <v>113</v>
      </c>
      <c r="P61" s="34">
        <v>35</v>
      </c>
      <c r="Q61" s="34">
        <v>28</v>
      </c>
      <c r="R61" s="34">
        <v>38</v>
      </c>
      <c r="S61" s="36" t="s">
        <v>113</v>
      </c>
      <c r="T61" s="34" t="s">
        <v>156</v>
      </c>
      <c r="U61" s="34" t="s">
        <v>156</v>
      </c>
      <c r="V61" s="34" t="s">
        <v>156</v>
      </c>
      <c r="W61" s="36" t="s">
        <v>157</v>
      </c>
    </row>
    <row r="62" spans="1:23" x14ac:dyDescent="0.35">
      <c r="A62" s="34">
        <v>58</v>
      </c>
      <c r="B62" s="35" t="s">
        <v>124</v>
      </c>
      <c r="C62" s="36" t="s">
        <v>121</v>
      </c>
      <c r="D62" s="34">
        <v>26</v>
      </c>
      <c r="E62" s="34">
        <v>16</v>
      </c>
      <c r="F62" s="34">
        <v>31</v>
      </c>
      <c r="G62" s="36" t="s">
        <v>113</v>
      </c>
      <c r="H62" s="34" t="s">
        <v>156</v>
      </c>
      <c r="I62" s="34" t="s">
        <v>156</v>
      </c>
      <c r="J62" s="34" t="s">
        <v>156</v>
      </c>
      <c r="K62" s="36" t="s">
        <v>157</v>
      </c>
      <c r="L62" s="34">
        <v>20</v>
      </c>
      <c r="M62" s="34">
        <v>0</v>
      </c>
      <c r="N62" s="34">
        <v>150</v>
      </c>
      <c r="O62" s="36" t="s">
        <v>113</v>
      </c>
      <c r="P62" s="34">
        <v>35</v>
      </c>
      <c r="Q62" s="34">
        <v>28</v>
      </c>
      <c r="R62" s="34">
        <v>38</v>
      </c>
      <c r="S62" s="36" t="s">
        <v>113</v>
      </c>
      <c r="T62" s="34" t="s">
        <v>156</v>
      </c>
      <c r="U62" s="34" t="s">
        <v>156</v>
      </c>
      <c r="V62" s="34" t="s">
        <v>156</v>
      </c>
      <c r="W62" s="36" t="s">
        <v>157</v>
      </c>
    </row>
    <row r="63" spans="1:23" x14ac:dyDescent="0.35">
      <c r="A63" s="34">
        <v>59</v>
      </c>
      <c r="B63" s="35" t="s">
        <v>125</v>
      </c>
      <c r="C63" s="36" t="s">
        <v>121</v>
      </c>
      <c r="D63" s="34">
        <v>27</v>
      </c>
      <c r="E63" s="34">
        <v>18</v>
      </c>
      <c r="F63" s="34">
        <v>31</v>
      </c>
      <c r="G63" s="36" t="s">
        <v>271</v>
      </c>
      <c r="H63" s="34" t="s">
        <v>156</v>
      </c>
      <c r="I63" s="34" t="s">
        <v>156</v>
      </c>
      <c r="J63" s="34" t="s">
        <v>156</v>
      </c>
      <c r="K63" s="36" t="s">
        <v>272</v>
      </c>
      <c r="L63" s="34">
        <v>20</v>
      </c>
      <c r="M63" s="34">
        <v>0</v>
      </c>
      <c r="N63" s="34">
        <v>100</v>
      </c>
      <c r="O63" s="36" t="s">
        <v>273</v>
      </c>
      <c r="P63" s="34">
        <v>35</v>
      </c>
      <c r="Q63" s="34">
        <v>28</v>
      </c>
      <c r="R63" s="34">
        <v>38</v>
      </c>
      <c r="S63" s="36" t="s">
        <v>273</v>
      </c>
      <c r="T63" s="34" t="s">
        <v>156</v>
      </c>
      <c r="U63" s="34" t="s">
        <v>156</v>
      </c>
      <c r="V63" s="34" t="s">
        <v>156</v>
      </c>
      <c r="W63" s="36" t="s">
        <v>272</v>
      </c>
    </row>
    <row r="64" spans="1:23" x14ac:dyDescent="0.35">
      <c r="A64" s="38">
        <v>60</v>
      </c>
      <c r="B64" s="39" t="s">
        <v>127</v>
      </c>
      <c r="C64" s="40" t="s">
        <v>121</v>
      </c>
      <c r="D64" s="38">
        <v>27</v>
      </c>
      <c r="E64" s="38">
        <v>16</v>
      </c>
      <c r="F64" s="38">
        <v>32</v>
      </c>
      <c r="G64" s="40" t="s">
        <v>274</v>
      </c>
      <c r="H64" s="38" t="s">
        <v>156</v>
      </c>
      <c r="I64" s="38" t="s">
        <v>156</v>
      </c>
      <c r="J64" s="38" t="s">
        <v>156</v>
      </c>
      <c r="K64" s="40" t="s">
        <v>157</v>
      </c>
      <c r="L64" s="38">
        <v>15</v>
      </c>
      <c r="M64" s="38">
        <v>0</v>
      </c>
      <c r="N64" s="38">
        <v>200</v>
      </c>
      <c r="O64" s="40" t="s">
        <v>275</v>
      </c>
      <c r="P64" s="38">
        <v>34</v>
      </c>
      <c r="Q64" s="38">
        <v>24</v>
      </c>
      <c r="R64" s="38">
        <v>38</v>
      </c>
      <c r="S64" s="40" t="s">
        <v>276</v>
      </c>
      <c r="T64" s="38" t="s">
        <v>156</v>
      </c>
      <c r="U64" s="38" t="s">
        <v>156</v>
      </c>
      <c r="V64" s="38" t="s">
        <v>156</v>
      </c>
      <c r="W64" s="40" t="s">
        <v>157</v>
      </c>
    </row>
    <row r="65" spans="1:23" x14ac:dyDescent="0.35">
      <c r="A65" s="42">
        <v>61</v>
      </c>
      <c r="B65" s="43" t="s">
        <v>129</v>
      </c>
      <c r="C65" s="44" t="s">
        <v>130</v>
      </c>
      <c r="D65" s="42">
        <v>27</v>
      </c>
      <c r="E65" s="42">
        <v>10</v>
      </c>
      <c r="F65" s="42">
        <v>33</v>
      </c>
      <c r="G65" s="44" t="s">
        <v>277</v>
      </c>
      <c r="H65" s="42">
        <v>25</v>
      </c>
      <c r="I65" s="42">
        <v>8</v>
      </c>
      <c r="J65" s="42">
        <v>32</v>
      </c>
      <c r="K65" s="44" t="s">
        <v>131</v>
      </c>
      <c r="L65" s="42">
        <v>10</v>
      </c>
      <c r="M65" s="42">
        <v>0</v>
      </c>
      <c r="N65" s="42">
        <v>500</v>
      </c>
      <c r="O65" s="44" t="s">
        <v>113</v>
      </c>
      <c r="P65" s="42">
        <v>33</v>
      </c>
      <c r="Q65" s="42">
        <v>20</v>
      </c>
      <c r="R65" s="42">
        <v>40</v>
      </c>
      <c r="S65" s="44" t="s">
        <v>113</v>
      </c>
      <c r="T65" s="42">
        <v>33</v>
      </c>
      <c r="U65" s="42">
        <v>20</v>
      </c>
      <c r="V65" s="42">
        <v>40</v>
      </c>
      <c r="W65" s="44" t="s">
        <v>113</v>
      </c>
    </row>
    <row r="66" spans="1:23" ht="23" x14ac:dyDescent="0.35">
      <c r="A66" s="42">
        <v>62</v>
      </c>
      <c r="B66" s="43" t="s">
        <v>132</v>
      </c>
      <c r="C66" s="44" t="s">
        <v>130</v>
      </c>
      <c r="D66" s="42" t="s">
        <v>156</v>
      </c>
      <c r="E66" s="42" t="s">
        <v>156</v>
      </c>
      <c r="F66" s="42" t="s">
        <v>156</v>
      </c>
      <c r="G66" s="44" t="s">
        <v>248</v>
      </c>
      <c r="H66" s="42">
        <v>22</v>
      </c>
      <c r="I66" s="42">
        <v>12</v>
      </c>
      <c r="J66" s="42">
        <v>28</v>
      </c>
      <c r="K66" s="44" t="s">
        <v>278</v>
      </c>
      <c r="L66" s="42">
        <v>40</v>
      </c>
      <c r="M66" s="42">
        <v>10</v>
      </c>
      <c r="N66" s="42">
        <v>200</v>
      </c>
      <c r="O66" s="44" t="s">
        <v>279</v>
      </c>
      <c r="P66" s="42" t="s">
        <v>156</v>
      </c>
      <c r="Q66" s="42" t="s">
        <v>156</v>
      </c>
      <c r="R66" s="42" t="s">
        <v>156</v>
      </c>
      <c r="S66" s="44" t="s">
        <v>248</v>
      </c>
      <c r="T66" s="42">
        <v>35</v>
      </c>
      <c r="U66" s="42">
        <v>32</v>
      </c>
      <c r="V66" s="42">
        <v>38</v>
      </c>
      <c r="W66" s="44" t="s">
        <v>280</v>
      </c>
    </row>
    <row r="67" spans="1:23" x14ac:dyDescent="0.35">
      <c r="A67" s="42">
        <v>63</v>
      </c>
      <c r="B67" s="43" t="s">
        <v>134</v>
      </c>
      <c r="C67" s="44" t="s">
        <v>130</v>
      </c>
      <c r="D67" s="42" t="s">
        <v>156</v>
      </c>
      <c r="E67" s="42" t="s">
        <v>156</v>
      </c>
      <c r="F67" s="42" t="s">
        <v>156</v>
      </c>
      <c r="G67" s="44" t="s">
        <v>248</v>
      </c>
      <c r="H67" s="42">
        <v>24</v>
      </c>
      <c r="I67" s="42">
        <v>10</v>
      </c>
      <c r="J67" s="42">
        <v>31</v>
      </c>
      <c r="K67" s="44" t="s">
        <v>111</v>
      </c>
      <c r="L67" s="42">
        <v>15</v>
      </c>
      <c r="M67" s="42">
        <v>0</v>
      </c>
      <c r="N67" s="42">
        <v>50</v>
      </c>
      <c r="O67" s="44" t="s">
        <v>281</v>
      </c>
      <c r="P67" s="42" t="s">
        <v>156</v>
      </c>
      <c r="Q67" s="42" t="s">
        <v>156</v>
      </c>
      <c r="R67" s="42" t="s">
        <v>156</v>
      </c>
      <c r="S67" s="44" t="s">
        <v>248</v>
      </c>
      <c r="T67" s="42">
        <v>33</v>
      </c>
      <c r="U67" s="42">
        <v>22</v>
      </c>
      <c r="V67" s="42">
        <v>38</v>
      </c>
      <c r="W67" s="44" t="s">
        <v>113</v>
      </c>
    </row>
    <row r="68" spans="1:23" ht="23" x14ac:dyDescent="0.35">
      <c r="A68" s="42">
        <v>64</v>
      </c>
      <c r="B68" s="43" t="s">
        <v>136</v>
      </c>
      <c r="C68" s="44" t="s">
        <v>130</v>
      </c>
      <c r="D68" s="42" t="s">
        <v>156</v>
      </c>
      <c r="E68" s="42" t="s">
        <v>156</v>
      </c>
      <c r="F68" s="42" t="s">
        <v>156</v>
      </c>
      <c r="G68" s="44" t="s">
        <v>248</v>
      </c>
      <c r="H68" s="42">
        <v>24</v>
      </c>
      <c r="I68" s="42">
        <v>8</v>
      </c>
      <c r="J68" s="42">
        <v>32</v>
      </c>
      <c r="K68" s="44" t="s">
        <v>282</v>
      </c>
      <c r="L68" s="42">
        <v>5</v>
      </c>
      <c r="M68" s="42">
        <v>0</v>
      </c>
      <c r="N68" s="42">
        <v>30</v>
      </c>
      <c r="O68" s="44" t="s">
        <v>283</v>
      </c>
      <c r="P68" s="42" t="s">
        <v>156</v>
      </c>
      <c r="Q68" s="42" t="s">
        <v>156</v>
      </c>
      <c r="R68" s="42" t="s">
        <v>156</v>
      </c>
      <c r="S68" s="44" t="s">
        <v>248</v>
      </c>
      <c r="T68" s="42">
        <v>30</v>
      </c>
      <c r="U68" s="42">
        <v>15</v>
      </c>
      <c r="V68" s="42">
        <v>40</v>
      </c>
      <c r="W68" s="44" t="s">
        <v>284</v>
      </c>
    </row>
    <row r="69" spans="1:23" ht="23" x14ac:dyDescent="0.35">
      <c r="A69" s="42">
        <v>65</v>
      </c>
      <c r="B69" s="43" t="s">
        <v>138</v>
      </c>
      <c r="C69" s="44" t="s">
        <v>130</v>
      </c>
      <c r="D69" s="42">
        <v>25</v>
      </c>
      <c r="E69" s="42">
        <v>14</v>
      </c>
      <c r="F69" s="42">
        <v>32</v>
      </c>
      <c r="G69" s="44" t="s">
        <v>285</v>
      </c>
      <c r="H69" s="42" t="s">
        <v>156</v>
      </c>
      <c r="I69" s="42" t="s">
        <v>156</v>
      </c>
      <c r="J69" s="42" t="s">
        <v>156</v>
      </c>
      <c r="K69" s="44" t="s">
        <v>157</v>
      </c>
      <c r="L69" s="42">
        <v>5</v>
      </c>
      <c r="M69" s="42">
        <v>0</v>
      </c>
      <c r="N69" s="42">
        <v>80</v>
      </c>
      <c r="O69" s="44" t="s">
        <v>286</v>
      </c>
      <c r="P69" s="42">
        <v>35</v>
      </c>
      <c r="Q69" s="42">
        <v>25</v>
      </c>
      <c r="R69" s="42">
        <v>38</v>
      </c>
      <c r="S69" s="44" t="s">
        <v>113</v>
      </c>
      <c r="T69" s="42" t="s">
        <v>156</v>
      </c>
      <c r="U69" s="42" t="s">
        <v>156</v>
      </c>
      <c r="V69" s="42" t="s">
        <v>156</v>
      </c>
      <c r="W69" s="44" t="s">
        <v>157</v>
      </c>
    </row>
    <row r="70" spans="1:23" x14ac:dyDescent="0.35">
      <c r="A70" s="46">
        <v>66</v>
      </c>
      <c r="B70" s="47" t="s">
        <v>139</v>
      </c>
      <c r="C70" s="48" t="s">
        <v>130</v>
      </c>
      <c r="D70" s="46" t="s">
        <v>156</v>
      </c>
      <c r="E70" s="46" t="s">
        <v>156</v>
      </c>
      <c r="F70" s="46" t="s">
        <v>156</v>
      </c>
      <c r="G70" s="48" t="s">
        <v>248</v>
      </c>
      <c r="H70" s="46">
        <v>26</v>
      </c>
      <c r="I70" s="46">
        <v>15</v>
      </c>
      <c r="J70" s="46">
        <v>32</v>
      </c>
      <c r="K70" s="48" t="s">
        <v>287</v>
      </c>
      <c r="L70" s="46">
        <v>4</v>
      </c>
      <c r="M70" s="46">
        <v>0</v>
      </c>
      <c r="N70" s="46">
        <v>10</v>
      </c>
      <c r="O70" s="48" t="s">
        <v>288</v>
      </c>
      <c r="P70" s="46" t="s">
        <v>156</v>
      </c>
      <c r="Q70" s="46" t="s">
        <v>156</v>
      </c>
      <c r="R70" s="46" t="s">
        <v>156</v>
      </c>
      <c r="S70" s="48" t="s">
        <v>248</v>
      </c>
      <c r="T70" s="46">
        <v>30</v>
      </c>
      <c r="U70" s="46">
        <v>20</v>
      </c>
      <c r="V70" s="46">
        <v>38</v>
      </c>
      <c r="W70" s="48" t="s">
        <v>289</v>
      </c>
    </row>
    <row r="71" spans="1:23" x14ac:dyDescent="0.35">
      <c r="A71" s="50">
        <v>67</v>
      </c>
      <c r="B71" s="51" t="s">
        <v>141</v>
      </c>
      <c r="C71" s="52" t="s">
        <v>142</v>
      </c>
      <c r="D71" s="50" t="s">
        <v>156</v>
      </c>
      <c r="E71" s="50" t="s">
        <v>156</v>
      </c>
      <c r="F71" s="50" t="s">
        <v>156</v>
      </c>
      <c r="G71" s="52" t="s">
        <v>290</v>
      </c>
      <c r="H71" s="50" t="s">
        <v>156</v>
      </c>
      <c r="I71" s="50" t="s">
        <v>156</v>
      </c>
      <c r="J71" s="50" t="s">
        <v>156</v>
      </c>
      <c r="K71" s="52" t="s">
        <v>290</v>
      </c>
      <c r="L71" s="50" t="s">
        <v>156</v>
      </c>
      <c r="M71" s="50" t="s">
        <v>156</v>
      </c>
      <c r="N71" s="50" t="s">
        <v>156</v>
      </c>
      <c r="O71" s="52" t="s">
        <v>290</v>
      </c>
      <c r="P71" s="50" t="s">
        <v>156</v>
      </c>
      <c r="Q71" s="50" t="s">
        <v>156</v>
      </c>
      <c r="R71" s="50" t="s">
        <v>156</v>
      </c>
      <c r="S71" s="52" t="s">
        <v>290</v>
      </c>
      <c r="T71" s="50" t="s">
        <v>156</v>
      </c>
      <c r="U71" s="50" t="s">
        <v>156</v>
      </c>
      <c r="V71" s="50" t="s">
        <v>156</v>
      </c>
      <c r="W71" s="52" t="s">
        <v>290</v>
      </c>
    </row>
    <row r="72" spans="1:23" x14ac:dyDescent="0.35">
      <c r="A72" s="54">
        <v>68</v>
      </c>
      <c r="B72" s="55" t="s">
        <v>144</v>
      </c>
      <c r="C72" s="56" t="s">
        <v>142</v>
      </c>
      <c r="D72" s="54" t="s">
        <v>156</v>
      </c>
      <c r="E72" s="54" t="s">
        <v>156</v>
      </c>
      <c r="F72" s="54" t="s">
        <v>156</v>
      </c>
      <c r="G72" s="56" t="s">
        <v>290</v>
      </c>
      <c r="H72" s="54" t="s">
        <v>156</v>
      </c>
      <c r="I72" s="54" t="s">
        <v>156</v>
      </c>
      <c r="J72" s="54" t="s">
        <v>156</v>
      </c>
      <c r="K72" s="56" t="s">
        <v>290</v>
      </c>
      <c r="L72" s="54" t="s">
        <v>156</v>
      </c>
      <c r="M72" s="54" t="s">
        <v>156</v>
      </c>
      <c r="N72" s="54" t="s">
        <v>156</v>
      </c>
      <c r="O72" s="56" t="s">
        <v>290</v>
      </c>
      <c r="P72" s="54" t="s">
        <v>156</v>
      </c>
      <c r="Q72" s="54" t="s">
        <v>156</v>
      </c>
      <c r="R72" s="54" t="s">
        <v>156</v>
      </c>
      <c r="S72" s="56" t="s">
        <v>290</v>
      </c>
      <c r="T72" s="54" t="s">
        <v>156</v>
      </c>
      <c r="U72" s="54" t="s">
        <v>156</v>
      </c>
      <c r="V72" s="54" t="s">
        <v>156</v>
      </c>
      <c r="W72" s="56" t="s">
        <v>290</v>
      </c>
    </row>
    <row r="75" spans="1:23" x14ac:dyDescent="0.35">
      <c r="D75">
        <f>COUNTIF(D5:D72,"&gt;0")</f>
        <v>12</v>
      </c>
      <c r="H75">
        <f>COUNTIF(H5:H72,"&gt;0")</f>
        <v>55</v>
      </c>
      <c r="L75">
        <f>COUNTIF(L5:L72,"&gt;0")</f>
        <v>66</v>
      </c>
      <c r="P75">
        <f>COUNTIF(P5:P72,"&gt;0")</f>
        <v>12</v>
      </c>
      <c r="T75">
        <f>COUNTIF(T5:T72,"&gt;0")</f>
        <v>55</v>
      </c>
    </row>
    <row r="77" spans="1:23" x14ac:dyDescent="0.35">
      <c r="D77">
        <f>SUM(D75:T75)</f>
        <v>200</v>
      </c>
    </row>
  </sheetData>
  <mergeCells count="8">
    <mergeCell ref="A1:W1"/>
    <mergeCell ref="D3:G3"/>
    <mergeCell ref="T3:W3"/>
    <mergeCell ref="H3:K3"/>
    <mergeCell ref="L3:O3"/>
    <mergeCell ref="P3:S3"/>
    <mergeCell ref="A3:C3"/>
    <mergeCell ref="A2:W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9"/>
  <sheetViews>
    <sheetView topLeftCell="A39" workbookViewId="0">
      <selection sqref="A1:C1"/>
    </sheetView>
  </sheetViews>
  <sheetFormatPr defaultRowHeight="14.5" x14ac:dyDescent="0.35"/>
  <cols>
    <col min="1" max="1" width="6" customWidth="1"/>
    <col min="2" max="2" width="36" customWidth="1"/>
    <col min="3" max="3" width="80" customWidth="1"/>
  </cols>
  <sheetData>
    <row r="1" spans="1:3" ht="30" customHeight="1" x14ac:dyDescent="0.35">
      <c r="A1" s="66" t="s">
        <v>291</v>
      </c>
      <c r="B1" s="67"/>
      <c r="C1" s="67"/>
    </row>
    <row r="2" spans="1:3" ht="18" customHeight="1" x14ac:dyDescent="0.35">
      <c r="A2" s="1" t="s">
        <v>2</v>
      </c>
      <c r="B2" s="1" t="s">
        <v>292</v>
      </c>
      <c r="C2" s="1" t="s">
        <v>293</v>
      </c>
    </row>
    <row r="3" spans="1:3" ht="30" customHeight="1" x14ac:dyDescent="0.35">
      <c r="A3" s="63">
        <v>1</v>
      </c>
      <c r="B3" s="64" t="s">
        <v>294</v>
      </c>
      <c r="C3" s="65" t="s">
        <v>295</v>
      </c>
    </row>
    <row r="4" spans="1:3" ht="30" customHeight="1" x14ac:dyDescent="0.35">
      <c r="A4" s="63">
        <v>2</v>
      </c>
      <c r="B4" s="64" t="s">
        <v>296</v>
      </c>
      <c r="C4" s="65" t="s">
        <v>297</v>
      </c>
    </row>
    <row r="5" spans="1:3" ht="30" customHeight="1" x14ac:dyDescent="0.35">
      <c r="A5" s="63">
        <v>3</v>
      </c>
      <c r="B5" s="64" t="s">
        <v>298</v>
      </c>
      <c r="C5" s="65" t="s">
        <v>299</v>
      </c>
    </row>
    <row r="6" spans="1:3" ht="30" customHeight="1" x14ac:dyDescent="0.35">
      <c r="A6" s="63">
        <v>4</v>
      </c>
      <c r="B6" s="64" t="s">
        <v>300</v>
      </c>
      <c r="C6" s="65" t="s">
        <v>301</v>
      </c>
    </row>
    <row r="7" spans="1:3" ht="30" customHeight="1" x14ac:dyDescent="0.35">
      <c r="A7" s="63">
        <v>5</v>
      </c>
      <c r="B7" s="64" t="s">
        <v>302</v>
      </c>
      <c r="C7" s="65" t="s">
        <v>303</v>
      </c>
    </row>
    <row r="8" spans="1:3" ht="30" customHeight="1" x14ac:dyDescent="0.35">
      <c r="A8" s="63">
        <v>6</v>
      </c>
      <c r="B8" s="64" t="s">
        <v>304</v>
      </c>
      <c r="C8" s="65" t="s">
        <v>305</v>
      </c>
    </row>
    <row r="9" spans="1:3" ht="30" customHeight="1" x14ac:dyDescent="0.35">
      <c r="A9" s="63">
        <v>7</v>
      </c>
      <c r="B9" s="64" t="s">
        <v>306</v>
      </c>
      <c r="C9" s="65" t="s">
        <v>307</v>
      </c>
    </row>
    <row r="10" spans="1:3" ht="30" customHeight="1" x14ac:dyDescent="0.35">
      <c r="A10" s="63">
        <v>8</v>
      </c>
      <c r="B10" s="64" t="s">
        <v>308</v>
      </c>
      <c r="C10" s="65" t="s">
        <v>309</v>
      </c>
    </row>
    <row r="11" spans="1:3" ht="30" customHeight="1" x14ac:dyDescent="0.35">
      <c r="A11" s="63">
        <v>9</v>
      </c>
      <c r="B11" s="64" t="s">
        <v>310</v>
      </c>
      <c r="C11" s="65" t="s">
        <v>311</v>
      </c>
    </row>
    <row r="12" spans="1:3" ht="30" customHeight="1" x14ac:dyDescent="0.35">
      <c r="A12" s="63">
        <v>10</v>
      </c>
      <c r="B12" s="64" t="s">
        <v>312</v>
      </c>
      <c r="C12" s="65" t="s">
        <v>313</v>
      </c>
    </row>
    <row r="13" spans="1:3" ht="30" customHeight="1" x14ac:dyDescent="0.35">
      <c r="A13" s="63">
        <v>11</v>
      </c>
      <c r="B13" s="64" t="s">
        <v>314</v>
      </c>
      <c r="C13" s="65" t="s">
        <v>315</v>
      </c>
    </row>
    <row r="14" spans="1:3" ht="30" customHeight="1" x14ac:dyDescent="0.35">
      <c r="A14" s="63">
        <v>12</v>
      </c>
      <c r="B14" s="64" t="s">
        <v>316</v>
      </c>
      <c r="C14" s="65" t="s">
        <v>317</v>
      </c>
    </row>
    <row r="15" spans="1:3" ht="30" customHeight="1" x14ac:dyDescent="0.35">
      <c r="A15" s="63">
        <v>13</v>
      </c>
      <c r="B15" s="64" t="s">
        <v>318</v>
      </c>
      <c r="C15" s="65" t="s">
        <v>319</v>
      </c>
    </row>
    <row r="16" spans="1:3" ht="30" customHeight="1" x14ac:dyDescent="0.35">
      <c r="A16" s="63">
        <v>14</v>
      </c>
      <c r="B16" s="64" t="s">
        <v>320</v>
      </c>
      <c r="C16" s="65" t="s">
        <v>321</v>
      </c>
    </row>
    <row r="17" spans="1:3" ht="30" customHeight="1" x14ac:dyDescent="0.35">
      <c r="A17" s="63">
        <v>15</v>
      </c>
      <c r="B17" s="64" t="s">
        <v>322</v>
      </c>
      <c r="C17" s="65" t="s">
        <v>323</v>
      </c>
    </row>
    <row r="18" spans="1:3" ht="30" customHeight="1" x14ac:dyDescent="0.35">
      <c r="A18" s="63">
        <v>16</v>
      </c>
      <c r="B18" s="64" t="s">
        <v>324</v>
      </c>
      <c r="C18" s="65" t="s">
        <v>325</v>
      </c>
    </row>
    <row r="19" spans="1:3" ht="30" customHeight="1" x14ac:dyDescent="0.35">
      <c r="A19" s="63">
        <v>17</v>
      </c>
      <c r="B19" s="64" t="s">
        <v>326</v>
      </c>
      <c r="C19" s="65" t="s">
        <v>327</v>
      </c>
    </row>
    <row r="20" spans="1:3" ht="30" customHeight="1" x14ac:dyDescent="0.35">
      <c r="A20" s="63">
        <v>18</v>
      </c>
      <c r="B20" s="64" t="s">
        <v>328</v>
      </c>
      <c r="C20" s="65" t="s">
        <v>329</v>
      </c>
    </row>
    <row r="21" spans="1:3" ht="30" customHeight="1" x14ac:dyDescent="0.35">
      <c r="A21" s="63">
        <v>19</v>
      </c>
      <c r="B21" s="64" t="s">
        <v>330</v>
      </c>
      <c r="C21" s="65" t="s">
        <v>331</v>
      </c>
    </row>
    <row r="22" spans="1:3" ht="30" customHeight="1" x14ac:dyDescent="0.35">
      <c r="A22" s="63">
        <v>20</v>
      </c>
      <c r="B22" s="64" t="s">
        <v>332</v>
      </c>
      <c r="C22" s="65" t="s">
        <v>333</v>
      </c>
    </row>
    <row r="23" spans="1:3" ht="30" customHeight="1" x14ac:dyDescent="0.35">
      <c r="A23" s="63">
        <v>21</v>
      </c>
      <c r="B23" s="64" t="s">
        <v>334</v>
      </c>
      <c r="C23" s="65" t="s">
        <v>335</v>
      </c>
    </row>
    <row r="24" spans="1:3" ht="30" customHeight="1" x14ac:dyDescent="0.35">
      <c r="A24" s="63">
        <v>22</v>
      </c>
      <c r="B24" s="64" t="s">
        <v>336</v>
      </c>
      <c r="C24" s="65" t="s">
        <v>337</v>
      </c>
    </row>
    <row r="25" spans="1:3" ht="30" customHeight="1" x14ac:dyDescent="0.35">
      <c r="A25" s="63">
        <v>23</v>
      </c>
      <c r="B25" s="64" t="s">
        <v>338</v>
      </c>
      <c r="C25" s="65" t="s">
        <v>339</v>
      </c>
    </row>
    <row r="26" spans="1:3" ht="30" customHeight="1" x14ac:dyDescent="0.35">
      <c r="A26" s="63">
        <v>24</v>
      </c>
      <c r="B26" s="64" t="s">
        <v>340</v>
      </c>
      <c r="C26" s="65" t="s">
        <v>341</v>
      </c>
    </row>
    <row r="27" spans="1:3" ht="30" customHeight="1" x14ac:dyDescent="0.35">
      <c r="A27" s="63">
        <v>25</v>
      </c>
      <c r="B27" s="64" t="s">
        <v>342</v>
      </c>
      <c r="C27" s="65" t="s">
        <v>343</v>
      </c>
    </row>
    <row r="28" spans="1:3" ht="30" customHeight="1" x14ac:dyDescent="0.35">
      <c r="A28" s="63">
        <v>26</v>
      </c>
      <c r="B28" s="64" t="s">
        <v>344</v>
      </c>
      <c r="C28" s="65" t="s">
        <v>345</v>
      </c>
    </row>
    <row r="29" spans="1:3" ht="30" customHeight="1" x14ac:dyDescent="0.35">
      <c r="A29" s="63">
        <v>27</v>
      </c>
      <c r="B29" s="64" t="s">
        <v>346</v>
      </c>
      <c r="C29" s="65" t="s">
        <v>347</v>
      </c>
    </row>
    <row r="30" spans="1:3" ht="30" customHeight="1" x14ac:dyDescent="0.35">
      <c r="A30" s="63">
        <v>28</v>
      </c>
      <c r="B30" s="64" t="s">
        <v>348</v>
      </c>
      <c r="C30" s="65" t="s">
        <v>349</v>
      </c>
    </row>
    <row r="31" spans="1:3" ht="30" customHeight="1" x14ac:dyDescent="0.35">
      <c r="A31" s="63">
        <v>29</v>
      </c>
      <c r="B31" s="64" t="s">
        <v>350</v>
      </c>
      <c r="C31" s="65" t="s">
        <v>351</v>
      </c>
    </row>
    <row r="32" spans="1:3" ht="30" customHeight="1" x14ac:dyDescent="0.35">
      <c r="A32" s="63">
        <v>30</v>
      </c>
      <c r="B32" s="64" t="s">
        <v>352</v>
      </c>
      <c r="C32" s="65" t="s">
        <v>353</v>
      </c>
    </row>
    <row r="33" spans="1:3" ht="30" customHeight="1" x14ac:dyDescent="0.35">
      <c r="A33" s="63">
        <v>31</v>
      </c>
      <c r="B33" s="64" t="s">
        <v>354</v>
      </c>
      <c r="C33" s="65" t="s">
        <v>355</v>
      </c>
    </row>
    <row r="34" spans="1:3" ht="30" customHeight="1" x14ac:dyDescent="0.35">
      <c r="A34" s="63">
        <v>32</v>
      </c>
      <c r="B34" s="64" t="s">
        <v>356</v>
      </c>
      <c r="C34" s="65" t="s">
        <v>357</v>
      </c>
    </row>
    <row r="35" spans="1:3" ht="30" customHeight="1" x14ac:dyDescent="0.35">
      <c r="A35" s="63">
        <v>33</v>
      </c>
      <c r="B35" s="64" t="s">
        <v>358</v>
      </c>
      <c r="C35" s="65" t="s">
        <v>359</v>
      </c>
    </row>
    <row r="36" spans="1:3" ht="30" customHeight="1" x14ac:dyDescent="0.35">
      <c r="A36" s="63">
        <v>34</v>
      </c>
      <c r="B36" s="64" t="s">
        <v>360</v>
      </c>
      <c r="C36" s="65" t="s">
        <v>361</v>
      </c>
    </row>
    <row r="37" spans="1:3" ht="30" customHeight="1" x14ac:dyDescent="0.35">
      <c r="A37" s="63">
        <v>35</v>
      </c>
      <c r="B37" s="64" t="s">
        <v>362</v>
      </c>
      <c r="C37" s="65" t="s">
        <v>363</v>
      </c>
    </row>
    <row r="38" spans="1:3" ht="30" customHeight="1" x14ac:dyDescent="0.35">
      <c r="A38" s="63">
        <v>36</v>
      </c>
      <c r="B38" s="64" t="s">
        <v>364</v>
      </c>
      <c r="C38" s="65" t="s">
        <v>365</v>
      </c>
    </row>
    <row r="39" spans="1:3" ht="30" customHeight="1" x14ac:dyDescent="0.35">
      <c r="A39" s="63">
        <v>37</v>
      </c>
      <c r="B39" s="64" t="s">
        <v>366</v>
      </c>
      <c r="C39" s="65" t="s">
        <v>367</v>
      </c>
    </row>
    <row r="40" spans="1:3" ht="30" customHeight="1" x14ac:dyDescent="0.35">
      <c r="A40" s="63">
        <v>38</v>
      </c>
      <c r="B40" s="64" t="s">
        <v>368</v>
      </c>
      <c r="C40" s="65" t="s">
        <v>369</v>
      </c>
    </row>
    <row r="41" spans="1:3" ht="30" customHeight="1" x14ac:dyDescent="0.35">
      <c r="A41" s="63">
        <v>39</v>
      </c>
      <c r="B41" s="64" t="s">
        <v>370</v>
      </c>
      <c r="C41" s="65" t="s">
        <v>371</v>
      </c>
    </row>
    <row r="42" spans="1:3" ht="30" customHeight="1" x14ac:dyDescent="0.35">
      <c r="A42" s="63">
        <v>40</v>
      </c>
      <c r="B42" s="64" t="s">
        <v>372</v>
      </c>
      <c r="C42" s="65" t="s">
        <v>373</v>
      </c>
    </row>
    <row r="43" spans="1:3" ht="30" customHeight="1" x14ac:dyDescent="0.35">
      <c r="A43" s="63">
        <v>41</v>
      </c>
      <c r="B43" s="64" t="s">
        <v>374</v>
      </c>
      <c r="C43" s="65" t="s">
        <v>375</v>
      </c>
    </row>
    <row r="44" spans="1:3" ht="30" customHeight="1" x14ac:dyDescent="0.35">
      <c r="A44" s="63">
        <v>42</v>
      </c>
      <c r="B44" s="64" t="s">
        <v>376</v>
      </c>
      <c r="C44" s="65" t="s">
        <v>377</v>
      </c>
    </row>
    <row r="45" spans="1:3" ht="30" customHeight="1" x14ac:dyDescent="0.35">
      <c r="A45" s="63">
        <v>43</v>
      </c>
      <c r="B45" s="64" t="s">
        <v>378</v>
      </c>
      <c r="C45" s="65" t="s">
        <v>379</v>
      </c>
    </row>
    <row r="46" spans="1:3" ht="30" customHeight="1" x14ac:dyDescent="0.35">
      <c r="A46" s="63">
        <v>44</v>
      </c>
      <c r="B46" s="64" t="s">
        <v>380</v>
      </c>
      <c r="C46" s="65" t="s">
        <v>381</v>
      </c>
    </row>
    <row r="47" spans="1:3" ht="30" customHeight="1" x14ac:dyDescent="0.35">
      <c r="A47" s="63">
        <v>45</v>
      </c>
      <c r="B47" s="64" t="s">
        <v>382</v>
      </c>
      <c r="C47" s="65" t="s">
        <v>383</v>
      </c>
    </row>
    <row r="48" spans="1:3" ht="30" customHeight="1" x14ac:dyDescent="0.35">
      <c r="A48" s="63">
        <v>46</v>
      </c>
      <c r="B48" s="64" t="s">
        <v>384</v>
      </c>
      <c r="C48" s="65" t="s">
        <v>385</v>
      </c>
    </row>
    <row r="49" spans="1:3" ht="30" customHeight="1" x14ac:dyDescent="0.35">
      <c r="A49" s="63">
        <v>47</v>
      </c>
      <c r="B49" s="64" t="s">
        <v>386</v>
      </c>
      <c r="C49" s="65" t="s">
        <v>387</v>
      </c>
    </row>
  </sheetData>
  <mergeCells count="1">
    <mergeCell ref="A1:C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Habitat Affinities</vt:lpstr>
      <vt:lpstr>Environmental Preferences</vt:lpstr>
      <vt:lpstr>Key 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Woodstock, Matthew Stephen</cp:lastModifiedBy>
  <dcterms:created xsi:type="dcterms:W3CDTF">2026-04-16T13:16:49Z</dcterms:created>
  <dcterms:modified xsi:type="dcterms:W3CDTF">2026-04-17T20:38:14Z</dcterms:modified>
</cp:coreProperties>
</file>