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eneral rules" sheetId="2" state="visible" r:id="rId2"/>
    <sheet xmlns:r="http://schemas.openxmlformats.org/officeDocument/2006/relationships" name="Scenarios" sheetId="3" state="visible" r:id="rId3"/>
    <sheet xmlns:r="http://schemas.openxmlformats.org/officeDocument/2006/relationships" name="Factors &amp; levels" sheetId="4" state="visible" r:id="rId4"/>
    <sheet xmlns:r="http://schemas.openxmlformats.org/officeDocument/2006/relationships" name="Fixed settings" sheetId="5" state="visible" r:id="rId5"/>
    <sheet xmlns:r="http://schemas.openxmlformats.org/officeDocument/2006/relationships" name="Objective sets" sheetId="6" state="visible" r:id="rId6"/>
    <sheet xmlns:r="http://schemas.openxmlformats.org/officeDocument/2006/relationships" name="Submission &amp; QC" sheetId="7" state="visible" r:id="rId7"/>
    <sheet xmlns:r="http://schemas.openxmlformats.org/officeDocument/2006/relationships" name="Progress" sheetId="8" state="visible" r:id="rId8"/>
    <sheet xmlns:r="http://schemas.openxmlformats.org/officeDocument/2006/relationships" name="Sources" sheetId="9" state="visible" r:id="rId9"/>
  </sheets>
  <definedNames>
    <definedName name="_xlnm._FilterDatabase" localSheetId="2" hidden="1">'Scenarios'!$A$1:$AL$279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4"/>
    </font>
    <font>
      <b val="1"/>
    </font>
    <font>
      <b val="1"/>
      <color rgb="00FFFFFF"/>
    </font>
    <font>
      <i val="1"/>
      <color rgb="00595959"/>
    </font>
  </fonts>
  <fills count="8">
    <fill>
      <patternFill/>
    </fill>
    <fill>
      <patternFill patternType="gray125"/>
    </fill>
    <fill>
      <patternFill patternType="solid">
        <fgColor rgb="00FFF2CC"/>
      </patternFill>
    </fill>
    <fill>
      <patternFill patternType="solid">
        <fgColor rgb="001F4E79"/>
      </patternFill>
    </fill>
    <fill>
      <patternFill patternType="solid">
        <fgColor rgb="00DDEBF7"/>
      </patternFill>
    </fill>
    <fill>
      <patternFill patternType="solid">
        <fgColor rgb="00FCE4D6"/>
      </patternFill>
    </fill>
    <fill>
      <patternFill patternType="solid">
        <fgColor rgb="00E2EFDA"/>
      </patternFill>
    </fill>
    <fill>
      <patternFill patternType="solid">
        <fgColor rgb="00EDE7F6"/>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3" fillId="3" borderId="0" applyAlignment="1" pivotButton="0" quotePrefix="0" xfId="0">
      <alignment vertical="center" wrapText="1"/>
    </xf>
    <xf numFmtId="0" fontId="0" fillId="4" borderId="0" applyAlignment="1" pivotButton="0" quotePrefix="0" xfId="0">
      <alignment vertical="top" wrapText="1"/>
    </xf>
    <xf numFmtId="0" fontId="0" fillId="2"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4" fillId="0" borderId="0" pivotButton="0" quotePrefix="0" xfId="0"/>
    <xf numFmtId="9" fontId="0" fillId="0" borderId="0" pivotButton="0" quotePrefix="0" xfId="0"/>
  </cellXfs>
  <cellStyles count="1">
    <cellStyle name="Normal" xfId="0" builtinId="0" hidden="0"/>
  </cellStyles>
  <dxfs count="6">
    <dxf>
      <fill>
        <patternFill patternType="solid">
          <fgColor rgb="00C6EFCE"/>
        </patternFill>
      </fill>
    </dxf>
    <dxf>
      <fill>
        <patternFill patternType="solid">
          <fgColor rgb="00A9D08E"/>
        </patternFill>
      </fill>
    </dxf>
    <dxf>
      <fill>
        <patternFill patternType="solid">
          <fgColor rgb="00BDD7EE"/>
        </patternFill>
      </fill>
    </dxf>
    <dxf>
      <fill>
        <patternFill patternType="solid">
          <fgColor rgb="00FFE699"/>
        </patternFill>
      </fill>
    </dxf>
    <dxf>
      <fill>
        <patternFill patternType="solid">
          <fgColor rgb="00F8CBAD"/>
        </patternFill>
      </fill>
    </dxf>
    <dxf>
      <fill>
        <patternFill patternType="solid">
          <fgColor rgb="00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10" customWidth="1" min="2" max="2"/>
    <col width="14" customWidth="1" min="3" max="3"/>
  </cols>
  <sheetData>
    <row r="1">
      <c r="A1" s="1" t="inlineStr">
        <is>
          <t>OptimalEcospace Live Solver: crowdsourced scenario programme</t>
        </is>
      </c>
    </row>
    <row r="3" ht="75" customHeight="1">
      <c r="A3" s="2" t="inlineStr">
        <is>
          <t>Purpose</t>
        </is>
      </c>
      <c r="B3" s="3" t="inlineStr">
        <is>
          <t>A shared, factorial set of Live Solver sessions for the northern Gulf of Mexico (NGoM) Ecospace model. Each row of the Scenarios sheet is one Live Solver session (100 random layouts plus the status quo). Run by many people on their own computers, the sessions add up to a consistent dataset that can be pooled and compared: where to install reef, how much to spend, what decommissioning does, and how sensitive the answers are to uncertain inputs.</t>
        </is>
      </c>
    </row>
    <row r="4" ht="75" customHeight="1">
      <c r="A4" s="2" t="inlineStr">
        <is>
          <t>Software</t>
        </is>
      </c>
      <c r="B4" s="3" t="inlineStr">
        <is>
          <t>Live Solver download (always the current version): https://github.com/mattwoodstock/OptimalEcospace/releases/download/live-solver/OptimalEcospace-LiveSolver.zip
Requires R (with RStudio) and the Ecospace console (EwEClientConsole.exe). See the User Guide (docs/LiveSolver_User_Guide.docx) for installation.</t>
        </is>
      </c>
    </row>
    <row r="5" ht="45" customHeight="1">
      <c r="A5" s="2" t="inlineStr">
        <is>
          <t>Required version</t>
        </is>
      </c>
      <c r="B5" s="3" t="inlineStr">
        <is>
          <t>The first line of the solver log must read 'Live Solver version ebf8874 (built ...)'. The coordinator will announce any change of version here; all scenarios in one analysis must use the same version.</t>
        </is>
      </c>
    </row>
    <row r="6" ht="60" customHeight="1">
      <c r="A6" s="2" t="inlineStr">
        <is>
          <t>Scenario files</t>
        </is>
      </c>
      <c r="B6" s="3" t="inlineStr">
        <is>
          <t>Each scenario has a small configuration file (column 'Config file' on the Scenarios sheet) that holds only the settings that differ from the defaults. Load it in Setup &gt; Save / load configuration &gt; Load configuration; everything else is reset to the defaults, so a previously loaded scenario cannot leak into the next. The files are in the folder 'configs' delivered with this workbook.</t>
        </is>
      </c>
    </row>
    <row r="7" ht="105" customHeight="1">
      <c r="A7" s="2" t="inlineStr">
        <is>
          <t>How to take part</t>
        </is>
      </c>
      <c r="B7" s="3" t="inlineStr">
        <is>
          <t>1. Read the General rules sheet.
2. On the Scenarios sheet, pick an unclaimed row (Priority 1 first), enter your name in 'Assigned to' and set Status to 'Claimed'.
3. Run it (General rules 6-14).
4. Upload the zipped session folder and complete the row (General rules 15-18; checklist on the Submission &amp; QC sheet).</t>
        </is>
      </c>
    </row>
    <row r="8" ht="60" customHeight="1">
      <c r="A8" s="2" t="inlineStr">
        <is>
          <t>Design</t>
        </is>
      </c>
      <c r="B8" s="3" t="inlineStr">
        <is>
          <t>Four blocks: A, installation (full factorial, 144 scenarios); B, decommissioning (full factorial, 72); C, mixed install + decommission (full factorial, 36); D, sensitivity and replicates around a reference scenario (26). Factor levels and their sources are on the Factors &amp; levels sheet; settings that never change are on Fixed settings.</t>
        </is>
      </c>
    </row>
    <row r="9" ht="45" customHeight="1">
      <c r="A9" s="2" t="inlineStr">
        <is>
          <t>Priorities</t>
        </is>
      </c>
      <c r="B9" s="3" t="inlineStr">
        <is>
          <t>1 = core comparisons over the whole model area plus the reference replicates (48 scenarios); 2 = whole-area variants and Alabama/Florida standard-module scenarios (103); 3 = remaining zone combinations and minor sensitivities (127). Finish all Priority 1 rows before starting Priority 2.</t>
        </is>
      </c>
    </row>
    <row r="10" ht="45" customHeight="1">
      <c r="A10" s="2" t="inlineStr">
        <is>
          <t>Objectives</t>
        </is>
      </c>
      <c r="B10" s="3" t="inlineStr">
        <is>
          <t>All sessions use the four default objectives (red snapper biomass and catch, other managed reef fish biomass, fishery revenue; weight 1). Alternative objective weightings (Objective sets sheet) are applied afterwards by re-scoring the saved outputs, so they need no extra Ecospace runs.</t>
        </is>
      </c>
    </row>
    <row r="11" ht="45" customHeight="1">
      <c r="A11" s="2" t="inlineStr">
        <is>
          <t>Pre-checked</t>
        </is>
      </c>
      <c r="B11" s="3" t="inlineStr">
        <is>
          <t>Every configuration file was loaded into the Live Solver and checked against the NGoM model in test mode: all 278 load, every one has eligible cells, and sampled layouts are feasible. 'Eligible cells' on the Scenarios sheet is what your Constraint preview must show after loading.</t>
        </is>
      </c>
    </row>
    <row r="13">
      <c r="A13" s="1" t="inlineStr">
        <is>
          <t>Planning inputs</t>
        </is>
      </c>
    </row>
    <row r="14">
      <c r="A14" s="4" t="inlineStr">
        <is>
          <t>Minutes per Ecospace run</t>
        </is>
      </c>
      <c r="B14" t="inlineStr">
        <is>
          <t>Typical 1-3.5 min on a desktop PC; enter your team's average. Used for the hour estimates.</t>
        </is>
      </c>
      <c r="C14" s="5" t="n">
        <v>2.5</v>
      </c>
    </row>
    <row r="15">
      <c r="A15" s="4" t="inlineStr">
        <is>
          <t>Total runs in the programme</t>
        </is>
      </c>
      <c r="C15">
        <f>SUM(Scenarios!T:T)+COUNTA(Scenarios!A:A)-1</f>
        <v/>
      </c>
    </row>
    <row r="16">
      <c r="A16" s="4" t="inlineStr">
        <is>
          <t>Total compute hours</t>
        </is>
      </c>
      <c r="C16">
        <f>ROUND(C15*'Read me'!$C$14/60,0)</f>
        <v/>
      </c>
    </row>
    <row r="17">
      <c r="A17" s="4" t="inlineStr">
        <is>
          <t>Hours per person (enter team size)</t>
        </is>
      </c>
      <c r="B17" t="inlineStr">
        <is>
          <t>Team size:</t>
        </is>
      </c>
      <c r="C17" s="5" t="n">
        <v>10</v>
      </c>
    </row>
    <row r="18">
      <c r="A18" s="4" t="inlineStr"/>
      <c r="B18" t="inlineStr">
        <is>
          <t>Hours each:</t>
        </is>
      </c>
      <c r="C18">
        <f>ROUND(C15*'Read me'!$C$14/60/C17,0)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80" customWidth="1" min="3" max="3"/>
    <col width="60" customWidth="1" min="4" max="4"/>
  </cols>
  <sheetData>
    <row r="1">
      <c r="A1" s="6" t="inlineStr">
        <is>
          <t>No.</t>
        </is>
      </c>
      <c r="B1" s="6" t="inlineStr">
        <is>
          <t>Area</t>
        </is>
      </c>
      <c r="C1" s="6" t="inlineStr">
        <is>
          <t>Rule</t>
        </is>
      </c>
      <c r="D1" s="6" t="inlineStr">
        <is>
          <t>Why</t>
        </is>
      </c>
    </row>
    <row r="2"/>
    <row r="3" ht="75" customHeight="1">
      <c r="A3" s="3" t="n">
        <v>1</v>
      </c>
      <c r="B3" s="3" t="inlineStr">
        <is>
          <t>Software</t>
        </is>
      </c>
      <c r="C3" s="3" t="inlineStr">
        <is>
          <t>Use the official download only (https://github.com/mattwoodstock/OptimalEcospace/releases/download/live-solver/OptimalEcospace-LiveSolver.zip). Confirm the first log line reads 'Live Solver version ebf8874'. Never edit any file in the package: the model (.eweaccdb), anything in Inputs, or the R code.</t>
        </is>
      </c>
      <c r="D3" s="3" t="inlineStr">
        <is>
          <t>Every contributor must simulate exactly the same model; a single edited map or parameter makes results impossible to pool.</t>
        </is>
      </c>
    </row>
    <row r="4" ht="45" customHeight="1">
      <c r="A4" s="3" t="n">
        <v>2</v>
      </c>
      <c r="B4" s="3" t="inlineStr">
        <is>
          <t>Software</t>
        </is>
      </c>
      <c r="C4" s="3" t="inlineStr">
        <is>
          <t>Use the Ecospace console version installed at the default location (EcoSpace Console 1.4.3.1 64-bit). Record the console version in the Notes if it differs.</t>
        </is>
      </c>
      <c r="D4" s="3" t="inlineStr">
        <is>
          <t>Different console builds can produce different outputs.</t>
        </is>
      </c>
    </row>
    <row r="5" ht="45" customHeight="1">
      <c r="A5" s="3" t="n">
        <v>3</v>
      </c>
      <c r="B5" s="3" t="inlineStr">
        <is>
          <t>Software</t>
        </is>
      </c>
      <c r="C5" s="3" t="inlineStr">
        <is>
          <t>Unzip a fresh copy of the package for each new programme version. One session at a time per unzipped folder; to run two sessions at once on one computer, use two separate unzipped folders.</t>
        </is>
      </c>
      <c r="D5" s="3" t="inlineStr">
        <is>
          <t>A session overwrites the map files in its own Inputs folder; two sessions in one folder would corrupt each other (the app blocks this with a lock file).</t>
        </is>
      </c>
    </row>
    <row r="6" ht="45" customHeight="1">
      <c r="A6" s="3" t="n">
        <v>4</v>
      </c>
      <c r="B6" s="3" t="inlineStr">
        <is>
          <t>Claiming</t>
        </is>
      </c>
      <c r="C6" s="3" t="inlineStr">
        <is>
          <t>Before starting, enter your name in 'Assigned to' and set Status to 'Claimed' (then 'Running'). Do not run a row someone else has claimed. Work through Priority 1 first, then 2, then 3.</t>
        </is>
      </c>
      <c r="D6" s="3" t="inlineStr">
        <is>
          <t>Avoids duplicated work and ensures the core comparisons finish first.</t>
        </is>
      </c>
    </row>
    <row r="7" ht="32" customHeight="1">
      <c r="A7" s="3" t="n">
        <v>5</v>
      </c>
      <c r="B7" s="3" t="inlineStr">
        <is>
          <t>Claiming</t>
        </is>
      </c>
      <c r="C7" s="3" t="inlineStr">
        <is>
          <t>Release a claim you cannot finish within 7 days (clear your name, Status 'Not started').</t>
        </is>
      </c>
      <c r="D7" s="3" t="inlineStr">
        <is>
          <t>Keeps the programme moving.</t>
        </is>
      </c>
    </row>
    <row r="8" ht="60" customHeight="1">
      <c r="A8" s="3" t="n">
        <v>6</v>
      </c>
      <c r="B8" s="3" t="inlineStr">
        <is>
          <t>Setup</t>
        </is>
      </c>
      <c r="C8" s="3" t="inlineStr">
        <is>
          <t>Start the app, open Setup, then Save / load configuration &gt; Load configuration and choose the scenario's file from the 'configs' folder. Do not change any setting afterwards, with two exceptions: the console location and 'Threads' (performance only; record it).</t>
        </is>
      </c>
      <c r="D8" s="3" t="inlineStr">
        <is>
          <t>The configuration file is the scenario definition; manual edits create unrecorded variants.</t>
        </is>
      </c>
    </row>
    <row r="9" ht="60" customHeight="1">
      <c r="A9" s="3" t="n">
        <v>7</v>
      </c>
      <c r="B9" s="3" t="inlineStr">
        <is>
          <t>Setup</t>
        </is>
      </c>
      <c r="C9" s="3" t="inlineStr">
        <is>
          <t>After loading, open the Constraint preview and check that the number of eligible cells (installation and/or decommissioning) equals 'Eligible install cells' / 'Eligible removal cells' on the Scenarios sheet. If it does not, stop and report.</t>
        </is>
      </c>
      <c r="D9" s="3" t="inlineStr">
        <is>
          <t>Confirms that the configuration loaded fully and that your copy of the model and maps is identical.</t>
        </is>
      </c>
    </row>
    <row r="10" ht="32" customHeight="1">
      <c r="A10" s="3" t="n">
        <v>8</v>
      </c>
      <c r="B10" s="3" t="inlineStr">
        <is>
          <t>Setup</t>
        </is>
      </c>
      <c r="C10" s="3" t="inlineStr">
        <is>
          <t>Test mode must be OFF. The Model &amp; run settings (Ecosim/Ecospace scenario 1, 30 years, 5-year spin-up, 12 time steps per year) must stay as loaded.</t>
        </is>
      </c>
      <c r="D10" s="3" t="inlineStr">
        <is>
          <t>Test mode produces made-up scores; run length and timing define when reef enters the model (year 10).</t>
        </is>
      </c>
    </row>
    <row r="11" ht="45" customHeight="1">
      <c r="A11" s="3" t="n">
        <v>9</v>
      </c>
      <c r="B11" s="3" t="inlineStr">
        <is>
          <t>Setup</t>
        </is>
      </c>
      <c r="C11" s="3" t="inlineStr">
        <is>
          <t>Keep the default objectives (RS_Biomass, RS_Catch, Reef_Fish_Biomass, Total_Revenue, weight 1, maximise) and the default economics. Do not press Re-score with different objectives before submitting.</t>
        </is>
      </c>
      <c r="D11" s="3" t="inlineStr">
        <is>
          <t>A common scoring basis; other weightings are applied centrally afterwards (Objective sets sheet).</t>
        </is>
      </c>
    </row>
    <row r="12" ht="45" customHeight="1">
      <c r="A12" s="3" t="n">
        <v>10</v>
      </c>
      <c r="B12" s="3" t="inlineStr">
        <is>
          <t>Running</t>
        </is>
      </c>
      <c r="C12" s="3" t="inlineStr">
        <is>
          <t>Run the number of scenarios listed (column 'Runs': 100 random layouts; 150 for the evolutionary-search scenario) with the listed random seed. Do not use 'Add iterations'.</t>
        </is>
      </c>
      <c r="D12" s="3" t="inlineStr">
        <is>
          <t>Equal sample sizes and fixed seeds make sessions comparable and reproducible.</t>
        </is>
      </c>
    </row>
    <row r="13" ht="45" customHeight="1">
      <c r="A13" s="3" t="n">
        <v>11</v>
      </c>
      <c r="B13" s="3" t="inlineStr">
        <is>
          <t>Running</t>
        </is>
      </c>
      <c r="C13" s="3" t="inlineStr">
        <is>
          <t>Keep the computer plugged in and set it never to sleep or hibernate while a session runs. Closing the browser tab is fine; closing R or RStudio stops the session.</t>
        </is>
      </c>
      <c r="D13" s="3" t="inlineStr">
        <is>
          <t>The session lives in the R process; sleep or shutdown kills the Ecospace console mid-run.</t>
        </is>
      </c>
    </row>
    <row r="14" ht="32" customHeight="1">
      <c r="A14" s="3" t="n">
        <v>12</v>
      </c>
      <c r="B14" s="3" t="inlineStr">
        <is>
          <t>Running</t>
        </is>
      </c>
      <c r="C14" s="3" t="inlineStr">
        <is>
          <t>Do not open the model in EwE desktop, edit files in Inputs, or run other heavy jobs while a session runs.</t>
        </is>
      </c>
      <c r="D14" s="3" t="inlineStr">
        <is>
          <t>Opening the model locks the database; heavy jobs slow runs and can trigger timeouts.</t>
        </is>
      </c>
    </row>
    <row r="15" ht="45" customHeight="1">
      <c r="A15" s="3" t="n">
        <v>13</v>
      </c>
      <c r="B15" s="3" t="inlineStr">
        <is>
          <t>Running</t>
        </is>
      </c>
      <c r="C15" s="3" t="inlineStr">
        <is>
          <t>Watch the log for warnings. If a warning says outcomes are identical to the status quo, a stale cache, or a grid/coordinate mismatch, stop the session and report it (Status 'Problem').</t>
        </is>
      </c>
      <c r="D15" s="3" t="inlineStr">
        <is>
          <t>These warnings mean Ecospace did not read the scenario maps, so the results are invalid.</t>
        </is>
      </c>
    </row>
    <row r="16" ht="60" customHeight="1">
      <c r="A16" s="3" t="n">
        <v>14</v>
      </c>
      <c r="B16" s="3" t="inlineStr">
        <is>
          <t>Running</t>
        </is>
      </c>
      <c r="C16" s="3" t="inlineStr">
        <is>
          <t>If more than 5 runs fail (console error or timeout) in one session, stop and report. If a session is interrupted (power cut, crash), start the scenario again from the beginning with the same configuration file; keep the partial folder and mention it in Notes.</t>
        </is>
      </c>
      <c r="D16" s="3" t="inlineStr">
        <is>
          <t>Partial or error-ridden sessions bias the sample.</t>
        </is>
      </c>
    </row>
    <row r="17" ht="45" customHeight="1">
      <c r="A17" s="3" t="n">
        <v>15</v>
      </c>
      <c r="B17" s="3" t="inlineStr">
        <is>
          <t>Submitting</t>
        </is>
      </c>
      <c r="C17" s="3" t="inlineStr">
        <is>
          <t>When the session finishes, zip the whole session folder Outputs/NGoM/LiveSolver_&lt;date_time&gt; and name the zip &lt;ScenarioID&gt;_&lt;YourInitials&gt;.zip (for example A017_MW.zip). Upload it to the shared results folder.</t>
        </is>
      </c>
      <c r="D17" s="3" t="inlineStr">
        <is>
          <t>The folder holds every run's maps, Ecospace outputs, the configuration and the log, so any result can be re-scored or audited.</t>
        </is>
      </c>
    </row>
    <row r="18" ht="45" customHeight="1">
      <c r="A18" s="3" t="n">
        <v>16</v>
      </c>
      <c r="B18" s="3" t="inlineStr">
        <is>
          <t>Submitting</t>
        </is>
      </c>
      <c r="C18" s="3" t="inlineStr">
        <is>
          <t>Fill in the row: Status 'Done - uploaded', dates, version from the log, runs finished, minutes per run, threads, computer (CPU), the status quo QC values and the upload link.</t>
        </is>
      </c>
      <c r="D18" s="3" t="inlineStr">
        <is>
          <t>The tracker is the programme's record; QC values catch setup differences early.</t>
        </is>
      </c>
    </row>
    <row r="19" ht="60" customHeight="1">
      <c r="A19" s="3" t="n">
        <v>17</v>
      </c>
      <c r="B19" s="3" t="inlineStr">
        <is>
          <t>QC</t>
        </is>
      </c>
      <c r="C19" s="3" t="inlineStr">
        <is>
          <t>Status quo check: copy RS_Biomass and RS_Catch of Run_0001_Status_Quo from optimization_results.csv into the row. They must equal the reference values on the Submission &amp; QC sheet (to 4 significant figures). If not, set Status 'QC failed' and report.</t>
        </is>
      </c>
      <c r="D19" s="3" t="inlineStr">
        <is>
          <t>The status quo run is identical in every scenario; a different value means a different model, console or setup.</t>
        </is>
      </c>
    </row>
    <row r="20" ht="32" customHeight="1">
      <c r="A20" s="3" t="n">
        <v>18</v>
      </c>
      <c r="B20" s="3" t="inlineStr">
        <is>
          <t>QC</t>
        </is>
      </c>
      <c r="C20" s="3" t="inlineStr">
        <is>
          <t>Do not delete, rename or edit anything inside a session folder before uploading.</t>
        </is>
      </c>
      <c r="D20" s="3" t="inlineStr">
        <is>
          <t>File names link the CSV to the run folders and maps.</t>
        </is>
      </c>
    </row>
    <row r="21" ht="32" customHeight="1">
      <c r="A21" s="3" t="n">
        <v>19</v>
      </c>
      <c r="B21" s="3" t="inlineStr">
        <is>
          <t>Changes</t>
        </is>
      </c>
      <c r="C21" s="3" t="inlineStr">
        <is>
          <t>Only the coordinator adds, removes or edits scenarios or factor levels. Suggestions go in Notes or to the coordinator.</t>
        </is>
      </c>
      <c r="D21" s="3" t="inlineStr">
        <is>
          <t>Keeps one authoritative design.</t>
        </is>
      </c>
    </row>
    <row r="22" ht="32" customHeight="1">
      <c r="A22" s="3" t="n">
        <v>20</v>
      </c>
      <c r="B22" s="3" t="inlineStr">
        <is>
          <t>Data</t>
        </is>
      </c>
      <c r="C22" s="3" t="inlineStr">
        <is>
          <t>Results are shared within the team for the joint analysis. Do not publish individual scenario results separately without the coordinator's agreement.</t>
        </is>
      </c>
      <c r="D22" s="3" t="inlineStr">
        <is>
          <t>Avoids conflicting partial analyses.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6" customWidth="1" min="2" max="2"/>
    <col width="8" customWidth="1" min="3" max="3"/>
    <col width="12" customWidth="1" min="4" max="4"/>
    <col width="34" customWidth="1" min="5" max="5"/>
    <col width="60"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70" customWidth="1" min="18" max="18"/>
    <col width="40" customWidth="1" min="19" max="19"/>
    <col width="7" customWidth="1" min="20" max="20"/>
    <col width="7" customWidth="1" min="21" max="21"/>
    <col width="10" customWidth="1" min="22" max="22"/>
    <col width="10" customWidth="1" min="23" max="23"/>
    <col width="8" customWidth="1" min="24" max="24"/>
    <col width="16" customWidth="1" min="25" max="25"/>
    <col width="16" customWidth="1" min="26" max="26"/>
    <col width="12" customWidth="1" min="27" max="27"/>
    <col width="12" customWidth="1" min="28" max="28"/>
    <col width="16" customWidth="1" min="29" max="29"/>
    <col width="9" customWidth="1" min="30" max="30"/>
    <col width="9" customWidth="1" min="31" max="31"/>
    <col width="8" customWidth="1" min="32" max="32"/>
    <col width="18" customWidth="1" min="33" max="33"/>
    <col width="14" customWidth="1" min="34" max="34"/>
    <col width="14" customWidth="1" min="35" max="35"/>
    <col width="9" customWidth="1" min="36" max="36"/>
    <col width="30" customWidth="1" min="37" max="37"/>
    <col width="40" customWidth="1" min="38" max="38"/>
  </cols>
  <sheetData>
    <row r="1" ht="45" customHeight="1">
      <c r="A1" s="6" t="inlineStr">
        <is>
          <t>Scenario ID</t>
        </is>
      </c>
      <c r="B1" s="6" t="inlineStr">
        <is>
          <t>Block</t>
        </is>
      </c>
      <c r="C1" s="6" t="inlineStr">
        <is>
          <t>Priority</t>
        </is>
      </c>
      <c r="D1" s="6" t="inlineStr">
        <is>
          <t>Strategy</t>
        </is>
      </c>
      <c r="E1" s="6" t="inlineStr">
        <is>
          <t>Code</t>
        </is>
      </c>
      <c r="F1" s="6" t="inlineStr">
        <is>
          <t>Description</t>
        </is>
      </c>
      <c r="G1" s="6" t="inlineStr">
        <is>
          <t>Zone</t>
        </is>
      </c>
      <c r="H1" s="6" t="inlineStr">
        <is>
          <t>Depth band</t>
        </is>
      </c>
      <c r="I1" s="6" t="inlineStr">
        <is>
          <t>Module type</t>
        </is>
      </c>
      <c r="J1" s="6" t="inlineStr">
        <is>
          <t>Layout</t>
        </is>
      </c>
      <c r="K1" s="6" t="inlineStr">
        <is>
          <t>Budget band</t>
        </is>
      </c>
      <c r="L1" s="6" t="inlineStr">
        <is>
          <t>Selection</t>
        </is>
      </c>
      <c r="M1" s="6" t="inlineStr">
        <is>
          <t>Removal</t>
        </is>
      </c>
      <c r="N1" s="6" t="inlineStr">
        <is>
          <t>Freed area becomes</t>
        </is>
      </c>
      <c r="O1" s="6" t="inlineStr">
        <is>
          <t>Removal count</t>
        </is>
      </c>
      <c r="P1" s="6" t="inlineStr">
        <is>
          <t>Shared budget</t>
        </is>
      </c>
      <c r="Q1" s="6" t="inlineStr">
        <is>
          <t>Sensitivity factor</t>
        </is>
      </c>
      <c r="R1" s="6" t="inlineStr">
        <is>
          <t>Settings to load / check (Setup panel &gt; field: value)</t>
        </is>
      </c>
      <c r="S1" s="6" t="inlineStr">
        <is>
          <t>Config file</t>
        </is>
      </c>
      <c r="T1" s="6" t="inlineStr">
        <is>
          <t>Runs</t>
        </is>
      </c>
      <c r="U1" s="6" t="inlineStr">
        <is>
          <t>Seed</t>
        </is>
      </c>
      <c r="V1" s="6" t="inlineStr">
        <is>
          <t>Eligible install cells</t>
        </is>
      </c>
      <c r="W1" s="6" t="inlineStr">
        <is>
          <t>Eligible removal cells</t>
        </is>
      </c>
      <c r="X1" s="6" t="inlineStr">
        <is>
          <t>Est. hours</t>
        </is>
      </c>
      <c r="Y1" s="6" t="inlineStr">
        <is>
          <t>Assigned to</t>
        </is>
      </c>
      <c r="Z1" s="6" t="inlineStr">
        <is>
          <t>Status</t>
        </is>
      </c>
      <c r="AA1" s="6" t="inlineStr">
        <is>
          <t>Date started</t>
        </is>
      </c>
      <c r="AB1" s="6" t="inlineStr">
        <is>
          <t>Date finished</t>
        </is>
      </c>
      <c r="AC1" s="6" t="inlineStr">
        <is>
          <t>Version (from log)</t>
        </is>
      </c>
      <c r="AD1" s="6" t="inlineStr">
        <is>
          <t>Runs finished</t>
        </is>
      </c>
      <c r="AE1" s="6" t="inlineStr">
        <is>
          <t>Minutes per run</t>
        </is>
      </c>
      <c r="AF1" s="6" t="inlineStr">
        <is>
          <t>Threads</t>
        </is>
      </c>
      <c r="AG1" s="6" t="inlineStr">
        <is>
          <t>Computer (CPU)</t>
        </is>
      </c>
      <c r="AH1" s="6" t="inlineStr">
        <is>
          <t>Status quo RS_Biomass</t>
        </is>
      </c>
      <c r="AI1" s="6" t="inlineStr">
        <is>
          <t>Status quo RS_Catch</t>
        </is>
      </c>
      <c r="AJ1" s="6" t="inlineStr">
        <is>
          <t>QC</t>
        </is>
      </c>
      <c r="AK1" s="6" t="inlineStr">
        <is>
          <t>Upload link</t>
        </is>
      </c>
      <c r="AL1" s="6" t="inlineStr">
        <is>
          <t>Notes</t>
        </is>
      </c>
    </row>
    <row r="2" ht="120" customHeight="1">
      <c r="A2" s="3" t="inlineStr">
        <is>
          <t>A001</t>
        </is>
      </c>
      <c r="B2" s="7" t="inlineStr">
        <is>
          <t>A</t>
        </is>
      </c>
      <c r="C2" s="3" t="n">
        <v>1</v>
      </c>
      <c r="D2" s="3" t="inlineStr">
        <is>
          <t>Install</t>
        </is>
      </c>
      <c r="E2" s="3" t="inlineStr">
        <is>
          <t>INST-Region-Any-Std-Disp-Small</t>
        </is>
      </c>
      <c r="F2" s="3" t="inlineStr">
        <is>
          <t>Install standard prefab modules, dispersed, any eligible depth (10-100 m), Whole model area, small budget ($0.1-1 M)</t>
        </is>
      </c>
      <c r="G2" s="3" t="inlineStr">
        <is>
          <t>Whole model area</t>
        </is>
      </c>
      <c r="H2" s="3" t="inlineStr">
        <is>
          <t>Any eligible depth (10-100 m)</t>
        </is>
      </c>
      <c r="I2" s="3" t="inlineStr">
        <is>
          <t>Standard prefab module ($2,500; 6 m2; 3 m tall)</t>
        </is>
      </c>
      <c r="J2" s="3" t="inlineStr">
        <is>
          <t>Dispersed (no connectivity preference)</t>
        </is>
      </c>
      <c r="K2" s="3" t="inlineStr">
        <is>
          <t>Small: $0.1-1 M</t>
        </is>
      </c>
      <c r="L2" s="3" t="n"/>
      <c r="M2" s="3" t="n"/>
      <c r="N2" s="3" t="n"/>
      <c r="O2" s="3" t="n"/>
      <c r="P2" s="3" t="n"/>
      <c r="Q2" s="3" t="n"/>
      <c r="R2" s="3" t="inlineStr">
        <is>
          <t>Strategy &gt; Strategy: Install new structures
Installation &gt; Maximum budget per scenario (USD): 1,000,000
Installation &gt; Minimum budget per scenario (USD): 100,000
Installation &gt; How budgets are drawn: Uniform
Installation &gt; Favour cells next to existing modules: unticked
Live solver / Search &gt; Number of scenarios to run: 100
Search &gt; Search algorithm: Random search
Search &gt; Random seed: 1,001</t>
        </is>
      </c>
      <c r="S2" s="3" t="inlineStr">
        <is>
          <t>A001_INST-Region-Any-Std-Disp-Small.json</t>
        </is>
      </c>
      <c r="T2" s="3" t="n">
        <v>100</v>
      </c>
      <c r="U2" s="3" t="n">
        <v>1001</v>
      </c>
      <c r="V2" s="3" t="n">
        <v>988</v>
      </c>
      <c r="W2" s="3" t="n"/>
      <c r="X2" s="3">
        <f>ROUND((T2+1)*'Read me'!$C$14/60,1)</f>
        <v/>
      </c>
      <c r="Y2" s="8" t="n"/>
      <c r="Z2" s="8" t="inlineStr">
        <is>
          <t>Not started</t>
        </is>
      </c>
      <c r="AA2" s="8" t="n"/>
      <c r="AB2" s="8" t="n"/>
      <c r="AC2" s="8" t="n"/>
      <c r="AD2" s="8" t="n"/>
      <c r="AE2" s="8" t="n"/>
      <c r="AF2" s="8" t="n"/>
      <c r="AG2" s="8" t="n"/>
      <c r="AH2" s="8" t="n"/>
      <c r="AI2" s="8" t="n"/>
      <c r="AJ2" s="8">
        <f>IF(OR(AH2="",'Submission &amp; QC'!$C$18=""),"",IF(AND(ABS(AH2-'Submission &amp; QC'!$C$18)&lt;=0.0005*ABS('Submission &amp; QC'!$C$18),ABS(AI2-'Submission &amp; QC'!$C$19)&lt;=0.0005*ABS('Submission &amp; QC'!$C$19)),"Pass","Fail"))</f>
        <v/>
      </c>
      <c r="AK2" s="8" t="n"/>
      <c r="AL2" s="8" t="n"/>
    </row>
    <row r="3" ht="120" customHeight="1">
      <c r="A3" s="3" t="inlineStr">
        <is>
          <t>A002</t>
        </is>
      </c>
      <c r="B3" s="7" t="inlineStr">
        <is>
          <t>A</t>
        </is>
      </c>
      <c r="C3" s="3" t="n">
        <v>1</v>
      </c>
      <c r="D3" s="3" t="inlineStr">
        <is>
          <t>Install</t>
        </is>
      </c>
      <c r="E3" s="3" t="inlineStr">
        <is>
          <t>INST-Region-Any-Std-Disp-Medium</t>
        </is>
      </c>
      <c r="F3" s="3" t="inlineStr">
        <is>
          <t>Install standard prefab modules, dispersed, any eligible depth (10-100 m), Whole model area, medium budget ($1-5 M)</t>
        </is>
      </c>
      <c r="G3" s="3" t="inlineStr">
        <is>
          <t>Whole model area</t>
        </is>
      </c>
      <c r="H3" s="3" t="inlineStr">
        <is>
          <t>Any eligible depth (10-100 m)</t>
        </is>
      </c>
      <c r="I3" s="3" t="inlineStr">
        <is>
          <t>Standard prefab module ($2,500; 6 m2; 3 m tall)</t>
        </is>
      </c>
      <c r="J3" s="3" t="inlineStr">
        <is>
          <t>Dispersed (no connectivity preference)</t>
        </is>
      </c>
      <c r="K3" s="3" t="inlineStr">
        <is>
          <t>Medium: $1-5 M</t>
        </is>
      </c>
      <c r="L3" s="3" t="n"/>
      <c r="M3" s="3" t="n"/>
      <c r="N3" s="3" t="n"/>
      <c r="O3" s="3" t="n"/>
      <c r="P3" s="3" t="n"/>
      <c r="Q3" s="3" t="n"/>
      <c r="R3" s="3" t="inlineStr">
        <is>
          <t>Strategy &gt; Strategy: Install new structures
Installation &gt; Maximum budget per scenario (USD): 5,000,000
Installation &gt; Minimum budget per scenario (USD): 1,000,000
Installation &gt; How budgets are drawn: Uniform
Installation &gt; Favour cells next to existing modules: unticked
Live solver / Search &gt; Number of scenarios to run: 100
Search &gt; Search algorithm: Random search
Search &gt; Random seed: 1,002</t>
        </is>
      </c>
      <c r="S3" s="3" t="inlineStr">
        <is>
          <t>A002_INST-Region-Any-Std-Disp-Medium.json</t>
        </is>
      </c>
      <c r="T3" s="3" t="n">
        <v>100</v>
      </c>
      <c r="U3" s="3" t="n">
        <v>1002</v>
      </c>
      <c r="V3" s="3" t="n">
        <v>988</v>
      </c>
      <c r="W3" s="3" t="n"/>
      <c r="X3" s="3">
        <f>ROUND((T3+1)*'Read me'!$C$14/60,1)</f>
        <v/>
      </c>
      <c r="Y3" s="8" t="n"/>
      <c r="Z3" s="8" t="inlineStr">
        <is>
          <t>Not started</t>
        </is>
      </c>
      <c r="AA3" s="8" t="n"/>
      <c r="AB3" s="8" t="n"/>
      <c r="AC3" s="8" t="n"/>
      <c r="AD3" s="8" t="n"/>
      <c r="AE3" s="8" t="n"/>
      <c r="AF3" s="8" t="n"/>
      <c r="AG3" s="8" t="n"/>
      <c r="AH3" s="8" t="n"/>
      <c r="AI3" s="8" t="n"/>
      <c r="AJ3" s="8">
        <f>IF(OR(AH3="",'Submission &amp; QC'!$C$18=""),"",IF(AND(ABS(AH3-'Submission &amp; QC'!$C$18)&lt;=0.0005*ABS('Submission &amp; QC'!$C$18),ABS(AI3-'Submission &amp; QC'!$C$19)&lt;=0.0005*ABS('Submission &amp; QC'!$C$19)),"Pass","Fail"))</f>
        <v/>
      </c>
      <c r="AK3" s="8" t="n"/>
      <c r="AL3" s="8" t="n"/>
    </row>
    <row r="4" ht="120" customHeight="1">
      <c r="A4" s="3" t="inlineStr">
        <is>
          <t>A003</t>
        </is>
      </c>
      <c r="B4" s="7" t="inlineStr">
        <is>
          <t>A</t>
        </is>
      </c>
      <c r="C4" s="3" t="n">
        <v>1</v>
      </c>
      <c r="D4" s="3" t="inlineStr">
        <is>
          <t>Install</t>
        </is>
      </c>
      <c r="E4" s="3" t="inlineStr">
        <is>
          <t>INST-Region-Any-Std-Disp-Large</t>
        </is>
      </c>
      <c r="F4" s="3" t="inlineStr">
        <is>
          <t>Install standard prefab modules, dispersed, any eligible depth (10-100 m), Whole model area, large budget ($5-15 M)</t>
        </is>
      </c>
      <c r="G4" s="3" t="inlineStr">
        <is>
          <t>Whole model area</t>
        </is>
      </c>
      <c r="H4" s="3" t="inlineStr">
        <is>
          <t>Any eligible depth (10-100 m)</t>
        </is>
      </c>
      <c r="I4" s="3" t="inlineStr">
        <is>
          <t>Standard prefab module ($2,500; 6 m2; 3 m tall)</t>
        </is>
      </c>
      <c r="J4" s="3" t="inlineStr">
        <is>
          <t>Dispersed (no connectivity preference)</t>
        </is>
      </c>
      <c r="K4" s="3" t="inlineStr">
        <is>
          <t>Large: $5-15 M</t>
        </is>
      </c>
      <c r="L4" s="3" t="n"/>
      <c r="M4" s="3" t="n"/>
      <c r="N4" s="3" t="n"/>
      <c r="O4" s="3" t="n"/>
      <c r="P4" s="3" t="n"/>
      <c r="Q4" s="3" t="n"/>
      <c r="R4" s="3" t="inlineStr">
        <is>
          <t>Strategy &gt; Strategy: Install new structures
Installation &gt; Maximum budget per scenario (USD): 15,000,000
Installation &gt; Minimum budget per scenario (USD): 5,000,000
Installation &gt; How budgets are drawn: Uniform
Installation &gt; Favour cells next to existing modules: unticked
Live solver / Search &gt; Number of scenarios to run: 100
Search &gt; Search algorithm: Random search
Search &gt; Random seed: 1,003</t>
        </is>
      </c>
      <c r="S4" s="3" t="inlineStr">
        <is>
          <t>A003_INST-Region-Any-Std-Disp-Large.json</t>
        </is>
      </c>
      <c r="T4" s="3" t="n">
        <v>100</v>
      </c>
      <c r="U4" s="3" t="n">
        <v>1003</v>
      </c>
      <c r="V4" s="3" t="n">
        <v>988</v>
      </c>
      <c r="W4" s="3" t="n"/>
      <c r="X4" s="3">
        <f>ROUND((T4+1)*'Read me'!$C$14/60,1)</f>
        <v/>
      </c>
      <c r="Y4" s="8" t="n"/>
      <c r="Z4" s="8" t="inlineStr">
        <is>
          <t>Not started</t>
        </is>
      </c>
      <c r="AA4" s="8" t="n"/>
      <c r="AB4" s="8" t="n"/>
      <c r="AC4" s="8" t="n"/>
      <c r="AD4" s="8" t="n"/>
      <c r="AE4" s="8" t="n"/>
      <c r="AF4" s="8" t="n"/>
      <c r="AG4" s="8" t="n"/>
      <c r="AH4" s="8" t="n"/>
      <c r="AI4" s="8" t="n"/>
      <c r="AJ4" s="8">
        <f>IF(OR(AH4="",'Submission &amp; QC'!$C$18=""),"",IF(AND(ABS(AH4-'Submission &amp; QC'!$C$18)&lt;=0.0005*ABS('Submission &amp; QC'!$C$18),ABS(AI4-'Submission &amp; QC'!$C$19)&lt;=0.0005*ABS('Submission &amp; QC'!$C$19)),"Pass","Fail"))</f>
        <v/>
      </c>
      <c r="AK4" s="8" t="n"/>
      <c r="AL4" s="8" t="n"/>
    </row>
    <row r="5" ht="135" customHeight="1">
      <c r="A5" s="3" t="inlineStr">
        <is>
          <t>A004</t>
        </is>
      </c>
      <c r="B5" s="7" t="inlineStr">
        <is>
          <t>A</t>
        </is>
      </c>
      <c r="C5" s="3" t="n">
        <v>1</v>
      </c>
      <c r="D5" s="3" t="inlineStr">
        <is>
          <t>Install</t>
        </is>
      </c>
      <c r="E5" s="3" t="inlineStr">
        <is>
          <t>INST-Region-Any-Std-Clust-Small</t>
        </is>
      </c>
      <c r="F5" s="3" t="inlineStr">
        <is>
          <t>Install standard prefab modules, clustered, any eligible depth (10-100 m), Whole model area, small budget ($0.1-1 M)</t>
        </is>
      </c>
      <c r="G5" s="3" t="inlineStr">
        <is>
          <t>Whole model area</t>
        </is>
      </c>
      <c r="H5" s="3" t="inlineStr">
        <is>
          <t>Any eligible depth (10-100 m)</t>
        </is>
      </c>
      <c r="I5" s="3" t="inlineStr">
        <is>
          <t>Standard prefab module ($2,500; 6 m2; 3 m tall)</t>
        </is>
      </c>
      <c r="J5" s="3" t="inlineStr">
        <is>
          <t>Clustered (favour cells next to existing modules)</t>
        </is>
      </c>
      <c r="K5" s="3" t="inlineStr">
        <is>
          <t>Small: $0.1-1 M</t>
        </is>
      </c>
      <c r="L5" s="3" t="n"/>
      <c r="M5" s="3" t="n"/>
      <c r="N5" s="3" t="n"/>
      <c r="O5" s="3" t="n"/>
      <c r="P5" s="3" t="n"/>
      <c r="Q5" s="3" t="n"/>
      <c r="R5" s="3" t="inlineStr">
        <is>
          <t>Strategy &gt; Strategy: Install new structures
Installation &gt; Maximum budget per scenario (USD): 1,000,000
Installation &gt; Minimum budget per scenario (USD): 100,000
Installation &gt; How budgets are drawn: Uniform
Installation &gt; Favour cells next to existing modules: ticked
Installation &gt; Connectivity bonus: 10
Live solver / Search &gt; Number of scenarios to run: 100
Search &gt; Search algorithm: Random search
Search &gt; Random seed: 1,004</t>
        </is>
      </c>
      <c r="S5" s="3" t="inlineStr">
        <is>
          <t>A004_INST-Region-Any-Std-Clust-Small.json</t>
        </is>
      </c>
      <c r="T5" s="3" t="n">
        <v>100</v>
      </c>
      <c r="U5" s="3" t="n">
        <v>1004</v>
      </c>
      <c r="V5" s="3" t="n">
        <v>988</v>
      </c>
      <c r="W5" s="3" t="n"/>
      <c r="X5" s="3">
        <f>ROUND((T5+1)*'Read me'!$C$14/60,1)</f>
        <v/>
      </c>
      <c r="Y5" s="8" t="n"/>
      <c r="Z5" s="8" t="inlineStr">
        <is>
          <t>Not started</t>
        </is>
      </c>
      <c r="AA5" s="8" t="n"/>
      <c r="AB5" s="8" t="n"/>
      <c r="AC5" s="8" t="n"/>
      <c r="AD5" s="8" t="n"/>
      <c r="AE5" s="8" t="n"/>
      <c r="AF5" s="8" t="n"/>
      <c r="AG5" s="8" t="n"/>
      <c r="AH5" s="8" t="n"/>
      <c r="AI5" s="8" t="n"/>
      <c r="AJ5" s="8">
        <f>IF(OR(AH5="",'Submission &amp; QC'!$C$18=""),"",IF(AND(ABS(AH5-'Submission &amp; QC'!$C$18)&lt;=0.0005*ABS('Submission &amp; QC'!$C$18),ABS(AI5-'Submission &amp; QC'!$C$19)&lt;=0.0005*ABS('Submission &amp; QC'!$C$19)),"Pass","Fail"))</f>
        <v/>
      </c>
      <c r="AK5" s="8" t="n"/>
      <c r="AL5" s="8" t="n"/>
    </row>
    <row r="6" ht="135" customHeight="1">
      <c r="A6" s="3" t="inlineStr">
        <is>
          <t>A005</t>
        </is>
      </c>
      <c r="B6" s="7" t="inlineStr">
        <is>
          <t>A</t>
        </is>
      </c>
      <c r="C6" s="3" t="n">
        <v>1</v>
      </c>
      <c r="D6" s="3" t="inlineStr">
        <is>
          <t>Install</t>
        </is>
      </c>
      <c r="E6" s="3" t="inlineStr">
        <is>
          <t>INST-Region-Any-Std-Clust-Medium</t>
        </is>
      </c>
      <c r="F6" s="3" t="inlineStr">
        <is>
          <t>Install standard prefab modules, clustered, any eligible depth (10-100 m), Whole model area, medium budget ($1-5 M)</t>
        </is>
      </c>
      <c r="G6" s="3" t="inlineStr">
        <is>
          <t>Whole model area</t>
        </is>
      </c>
      <c r="H6" s="3" t="inlineStr">
        <is>
          <t>Any eligible depth (10-100 m)</t>
        </is>
      </c>
      <c r="I6" s="3" t="inlineStr">
        <is>
          <t>Standard prefab module ($2,500; 6 m2; 3 m tall)</t>
        </is>
      </c>
      <c r="J6" s="3" t="inlineStr">
        <is>
          <t>Clustered (favour cells next to existing modules)</t>
        </is>
      </c>
      <c r="K6" s="3" t="inlineStr">
        <is>
          <t>Medium: $1-5 M</t>
        </is>
      </c>
      <c r="L6" s="3" t="n"/>
      <c r="M6" s="3" t="n"/>
      <c r="N6" s="3" t="n"/>
      <c r="O6" s="3" t="n"/>
      <c r="P6" s="3" t="n"/>
      <c r="Q6" s="3" t="n"/>
      <c r="R6" s="3" t="inlineStr">
        <is>
          <t>Strategy &gt; Strategy: Install new structures
Installation &gt; Maximum budget per scenario (USD): 5,000,000
Installation &gt; Minimum budget per scenario (USD): 1,000,000
Installation &gt; How budgets are drawn: Uniform
Installation &gt; Favour cells next to existing modules: ticked
Installation &gt; Connectivity bonus: 10
Live solver / Search &gt; Number of scenarios to run: 100
Search &gt; Search algorithm: Random search
Search &gt; Random seed: 1,005</t>
        </is>
      </c>
      <c r="S6" s="3" t="inlineStr">
        <is>
          <t>A005_INST-Region-Any-Std-Clust-Medium.json</t>
        </is>
      </c>
      <c r="T6" s="3" t="n">
        <v>100</v>
      </c>
      <c r="U6" s="3" t="n">
        <v>1005</v>
      </c>
      <c r="V6" s="3" t="n">
        <v>988</v>
      </c>
      <c r="W6" s="3" t="n"/>
      <c r="X6" s="3">
        <f>ROUND((T6+1)*'Read me'!$C$14/60,1)</f>
        <v/>
      </c>
      <c r="Y6" s="8" t="n"/>
      <c r="Z6" s="8" t="inlineStr">
        <is>
          <t>Not started</t>
        </is>
      </c>
      <c r="AA6" s="8" t="n"/>
      <c r="AB6" s="8" t="n"/>
      <c r="AC6" s="8" t="n"/>
      <c r="AD6" s="8" t="n"/>
      <c r="AE6" s="8" t="n"/>
      <c r="AF6" s="8" t="n"/>
      <c r="AG6" s="8" t="n"/>
      <c r="AH6" s="8" t="n"/>
      <c r="AI6" s="8" t="n"/>
      <c r="AJ6" s="8">
        <f>IF(OR(AH6="",'Submission &amp; QC'!$C$18=""),"",IF(AND(ABS(AH6-'Submission &amp; QC'!$C$18)&lt;=0.0005*ABS('Submission &amp; QC'!$C$18),ABS(AI6-'Submission &amp; QC'!$C$19)&lt;=0.0005*ABS('Submission &amp; QC'!$C$19)),"Pass","Fail"))</f>
        <v/>
      </c>
      <c r="AK6" s="8" t="n"/>
      <c r="AL6" s="8" t="n"/>
    </row>
    <row r="7" ht="135" customHeight="1">
      <c r="A7" s="3" t="inlineStr">
        <is>
          <t>A006</t>
        </is>
      </c>
      <c r="B7" s="7" t="inlineStr">
        <is>
          <t>A</t>
        </is>
      </c>
      <c r="C7" s="3" t="n">
        <v>1</v>
      </c>
      <c r="D7" s="3" t="inlineStr">
        <is>
          <t>Install</t>
        </is>
      </c>
      <c r="E7" s="3" t="inlineStr">
        <is>
          <t>INST-Region-Any-Std-Clust-Large</t>
        </is>
      </c>
      <c r="F7" s="3" t="inlineStr">
        <is>
          <t>Install standard prefab modules, clustered, any eligible depth (10-100 m), Whole model area, large budget ($5-15 M)</t>
        </is>
      </c>
      <c r="G7" s="3" t="inlineStr">
        <is>
          <t>Whole model area</t>
        </is>
      </c>
      <c r="H7" s="3" t="inlineStr">
        <is>
          <t>Any eligible depth (10-100 m)</t>
        </is>
      </c>
      <c r="I7" s="3" t="inlineStr">
        <is>
          <t>Standard prefab module ($2,500; 6 m2; 3 m tall)</t>
        </is>
      </c>
      <c r="J7" s="3" t="inlineStr">
        <is>
          <t>Clustered (favour cells next to existing modules)</t>
        </is>
      </c>
      <c r="K7" s="3" t="inlineStr">
        <is>
          <t>Large: $5-15 M</t>
        </is>
      </c>
      <c r="L7" s="3" t="n"/>
      <c r="M7" s="3" t="n"/>
      <c r="N7" s="3" t="n"/>
      <c r="O7" s="3" t="n"/>
      <c r="P7" s="3" t="n"/>
      <c r="Q7" s="3" t="n"/>
      <c r="R7" s="3" t="inlineStr">
        <is>
          <t>Strategy &gt; Strategy: Install new structures
Installation &gt; Maximum budget per scenario (USD): 15,000,000
Installation &gt; Minimum budget per scenario (USD): 5,000,000
Installation &gt; How budgets are drawn: Uniform
Installation &gt; Favour cells next to existing modules: ticked
Installation &gt; Connectivity bonus: 10
Live solver / Search &gt; Number of scenarios to run: 100
Search &gt; Search algorithm: Random search
Search &gt; Random seed: 1,006</t>
        </is>
      </c>
      <c r="S7" s="3" t="inlineStr">
        <is>
          <t>A006_INST-Region-Any-Std-Clust-Large.json</t>
        </is>
      </c>
      <c r="T7" s="3" t="n">
        <v>100</v>
      </c>
      <c r="U7" s="3" t="n">
        <v>1006</v>
      </c>
      <c r="V7" s="3" t="n">
        <v>988</v>
      </c>
      <c r="W7" s="3" t="n"/>
      <c r="X7" s="3">
        <f>ROUND((T7+1)*'Read me'!$C$14/60,1)</f>
        <v/>
      </c>
      <c r="Y7" s="8" t="n"/>
      <c r="Z7" s="8" t="inlineStr">
        <is>
          <t>Not started</t>
        </is>
      </c>
      <c r="AA7" s="8" t="n"/>
      <c r="AB7" s="8" t="n"/>
      <c r="AC7" s="8" t="n"/>
      <c r="AD7" s="8" t="n"/>
      <c r="AE7" s="8" t="n"/>
      <c r="AF7" s="8" t="n"/>
      <c r="AG7" s="8" t="n"/>
      <c r="AH7" s="8" t="n"/>
      <c r="AI7" s="8" t="n"/>
      <c r="AJ7" s="8">
        <f>IF(OR(AH7="",'Submission &amp; QC'!$C$18=""),"",IF(AND(ABS(AH7-'Submission &amp; QC'!$C$18)&lt;=0.0005*ABS('Submission &amp; QC'!$C$18),ABS(AI7-'Submission &amp; QC'!$C$19)&lt;=0.0005*ABS('Submission &amp; QC'!$C$19)),"Pass","Fail"))</f>
        <v/>
      </c>
      <c r="AK7" s="8" t="n"/>
      <c r="AL7" s="8" t="n"/>
    </row>
    <row r="8" ht="165" customHeight="1">
      <c r="A8" s="3" t="inlineStr">
        <is>
          <t>A007</t>
        </is>
      </c>
      <c r="B8" s="7" t="inlineStr">
        <is>
          <t>A</t>
        </is>
      </c>
      <c r="C8" s="3" t="n">
        <v>2</v>
      </c>
      <c r="D8" s="3" t="inlineStr">
        <is>
          <t>Install</t>
        </is>
      </c>
      <c r="E8" s="3" t="inlineStr">
        <is>
          <t>INST-Region-Any-Large-Disp-Small</t>
        </is>
      </c>
      <c r="F8" s="3" t="inlineStr">
        <is>
          <t>Install large modules, dispersed, any eligible depth (10-100 m), Whole model area, small budget ($0.1-1 M)</t>
        </is>
      </c>
      <c r="G8" s="3" t="inlineStr">
        <is>
          <t>Whole model area</t>
        </is>
      </c>
      <c r="H8" s="3" t="inlineStr">
        <is>
          <t>Any eligible depth (10-100 m)</t>
        </is>
      </c>
      <c r="I8" s="3" t="inlineStr">
        <is>
          <t>Large module ($12,000; 20 m2; 6 m tall)</t>
        </is>
      </c>
      <c r="J8" s="3" t="inlineStr">
        <is>
          <t>Dispersed (no connectivity preference)</t>
        </is>
      </c>
      <c r="K8" s="3" t="inlineStr">
        <is>
          <t>Small: $0.1-1 M</t>
        </is>
      </c>
      <c r="L8" s="3" t="n"/>
      <c r="M8" s="3" t="n"/>
      <c r="N8" s="3" t="n"/>
      <c r="O8" s="3" t="n"/>
      <c r="P8" s="3" t="n"/>
      <c r="Q8" s="3" t="n"/>
      <c r="R8" s="3" t="inlineStr">
        <is>
          <t>Strategy &gt; Strategy: Install new structures
Installation &gt; Maximum budget per scenario (USD): 1,000,000
Installation &gt; Minimum budget per scenario (USD): 100,000
Installation &gt; How budgets are drawn: Uniform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1,007</t>
        </is>
      </c>
      <c r="S8" s="3" t="inlineStr">
        <is>
          <t>A007_INST-Region-Any-Large-Disp-Small.json</t>
        </is>
      </c>
      <c r="T8" s="3" t="n">
        <v>100</v>
      </c>
      <c r="U8" s="3" t="n">
        <v>1007</v>
      </c>
      <c r="V8" s="3" t="n">
        <v>988</v>
      </c>
      <c r="W8" s="3" t="n"/>
      <c r="X8" s="3">
        <f>ROUND((T8+1)*'Read me'!$C$14/60,1)</f>
        <v/>
      </c>
      <c r="Y8" s="8" t="n"/>
      <c r="Z8" s="8" t="inlineStr">
        <is>
          <t>Not started</t>
        </is>
      </c>
      <c r="AA8" s="8" t="n"/>
      <c r="AB8" s="8" t="n"/>
      <c r="AC8" s="8" t="n"/>
      <c r="AD8" s="8" t="n"/>
      <c r="AE8" s="8" t="n"/>
      <c r="AF8" s="8" t="n"/>
      <c r="AG8" s="8" t="n"/>
      <c r="AH8" s="8" t="n"/>
      <c r="AI8" s="8" t="n"/>
      <c r="AJ8" s="8">
        <f>IF(OR(AH8="",'Submission &amp; QC'!$C$18=""),"",IF(AND(ABS(AH8-'Submission &amp; QC'!$C$18)&lt;=0.0005*ABS('Submission &amp; QC'!$C$18),ABS(AI8-'Submission &amp; QC'!$C$19)&lt;=0.0005*ABS('Submission &amp; QC'!$C$19)),"Pass","Fail"))</f>
        <v/>
      </c>
      <c r="AK8" s="8" t="n"/>
      <c r="AL8" s="8" t="n"/>
    </row>
    <row r="9" ht="165" customHeight="1">
      <c r="A9" s="3" t="inlineStr">
        <is>
          <t>A008</t>
        </is>
      </c>
      <c r="B9" s="7" t="inlineStr">
        <is>
          <t>A</t>
        </is>
      </c>
      <c r="C9" s="3" t="n">
        <v>2</v>
      </c>
      <c r="D9" s="3" t="inlineStr">
        <is>
          <t>Install</t>
        </is>
      </c>
      <c r="E9" s="3" t="inlineStr">
        <is>
          <t>INST-Region-Any-Large-Disp-Medium</t>
        </is>
      </c>
      <c r="F9" s="3" t="inlineStr">
        <is>
          <t>Install large modules, dispersed, any eligible depth (10-100 m), Whole model area, medium budget ($1-5 M)</t>
        </is>
      </c>
      <c r="G9" s="3" t="inlineStr">
        <is>
          <t>Whole model area</t>
        </is>
      </c>
      <c r="H9" s="3" t="inlineStr">
        <is>
          <t>Any eligible depth (10-100 m)</t>
        </is>
      </c>
      <c r="I9" s="3" t="inlineStr">
        <is>
          <t>Large module ($12,000; 20 m2; 6 m tall)</t>
        </is>
      </c>
      <c r="J9" s="3" t="inlineStr">
        <is>
          <t>Dispersed (no connectivity preference)</t>
        </is>
      </c>
      <c r="K9" s="3" t="inlineStr">
        <is>
          <t>Medium: $1-5 M</t>
        </is>
      </c>
      <c r="L9" s="3" t="n"/>
      <c r="M9" s="3" t="n"/>
      <c r="N9" s="3" t="n"/>
      <c r="O9" s="3" t="n"/>
      <c r="P9" s="3" t="n"/>
      <c r="Q9" s="3" t="n"/>
      <c r="R9" s="3" t="inlineStr">
        <is>
          <t>Strategy &gt; Strategy: Install new structures
Installation &gt; Maximum budget per scenario (USD): 5,000,000
Installation &gt; Minimum budget per scenario (USD): 1,000,000
Installation &gt; How budgets are drawn: Uniform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1,008</t>
        </is>
      </c>
      <c r="S9" s="3" t="inlineStr">
        <is>
          <t>A008_INST-Region-Any-Large-Disp-Medium.json</t>
        </is>
      </c>
      <c r="T9" s="3" t="n">
        <v>100</v>
      </c>
      <c r="U9" s="3" t="n">
        <v>1008</v>
      </c>
      <c r="V9" s="3" t="n">
        <v>988</v>
      </c>
      <c r="W9" s="3" t="n"/>
      <c r="X9" s="3">
        <f>ROUND((T9+1)*'Read me'!$C$14/60,1)</f>
        <v/>
      </c>
      <c r="Y9" s="8" t="n"/>
      <c r="Z9" s="8" t="inlineStr">
        <is>
          <t>Not started</t>
        </is>
      </c>
      <c r="AA9" s="8" t="n"/>
      <c r="AB9" s="8" t="n"/>
      <c r="AC9" s="8" t="n"/>
      <c r="AD9" s="8" t="n"/>
      <c r="AE9" s="8" t="n"/>
      <c r="AF9" s="8" t="n"/>
      <c r="AG9" s="8" t="n"/>
      <c r="AH9" s="8" t="n"/>
      <c r="AI9" s="8" t="n"/>
      <c r="AJ9" s="8">
        <f>IF(OR(AH9="",'Submission &amp; QC'!$C$18=""),"",IF(AND(ABS(AH9-'Submission &amp; QC'!$C$18)&lt;=0.0005*ABS('Submission &amp; QC'!$C$18),ABS(AI9-'Submission &amp; QC'!$C$19)&lt;=0.0005*ABS('Submission &amp; QC'!$C$19)),"Pass","Fail"))</f>
        <v/>
      </c>
      <c r="AK9" s="8" t="n"/>
      <c r="AL9" s="8" t="n"/>
    </row>
    <row r="10" ht="165" customHeight="1">
      <c r="A10" s="3" t="inlineStr">
        <is>
          <t>A009</t>
        </is>
      </c>
      <c r="B10" s="7" t="inlineStr">
        <is>
          <t>A</t>
        </is>
      </c>
      <c r="C10" s="3" t="n">
        <v>2</v>
      </c>
      <c r="D10" s="3" t="inlineStr">
        <is>
          <t>Install</t>
        </is>
      </c>
      <c r="E10" s="3" t="inlineStr">
        <is>
          <t>INST-Region-Any-Large-Disp-Large</t>
        </is>
      </c>
      <c r="F10" s="3" t="inlineStr">
        <is>
          <t>Install large modules, dispersed, any eligible depth (10-100 m), Whole model area, large budget ($5-15 M)</t>
        </is>
      </c>
      <c r="G10" s="3" t="inlineStr">
        <is>
          <t>Whole model area</t>
        </is>
      </c>
      <c r="H10" s="3" t="inlineStr">
        <is>
          <t>Any eligible depth (10-100 m)</t>
        </is>
      </c>
      <c r="I10" s="3" t="inlineStr">
        <is>
          <t>Large module ($12,000; 20 m2; 6 m tall)</t>
        </is>
      </c>
      <c r="J10" s="3" t="inlineStr">
        <is>
          <t>Dispersed (no connectivity preference)</t>
        </is>
      </c>
      <c r="K10" s="3" t="inlineStr">
        <is>
          <t>Large: $5-15 M</t>
        </is>
      </c>
      <c r="L10" s="3" t="n"/>
      <c r="M10" s="3" t="n"/>
      <c r="N10" s="3" t="n"/>
      <c r="O10" s="3" t="n"/>
      <c r="P10" s="3" t="n"/>
      <c r="Q10" s="3" t="n"/>
      <c r="R10" s="3" t="inlineStr">
        <is>
          <t>Strategy &gt; Strategy: Install new structures
Installation &gt; Maximum budget per scenario (USD): 15,000,000
Installation &gt; Minimum budget per scenario (USD): 5,000,000
Installation &gt; How budgets are drawn: Uniform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1,009</t>
        </is>
      </c>
      <c r="S10" s="3" t="inlineStr">
        <is>
          <t>A009_INST-Region-Any-Large-Disp-Large.json</t>
        </is>
      </c>
      <c r="T10" s="3" t="n">
        <v>100</v>
      </c>
      <c r="U10" s="3" t="n">
        <v>1009</v>
      </c>
      <c r="V10" s="3" t="n">
        <v>988</v>
      </c>
      <c r="W10" s="3" t="n"/>
      <c r="X10" s="3">
        <f>ROUND((T10+1)*'Read me'!$C$14/60,1)</f>
        <v/>
      </c>
      <c r="Y10" s="8" t="n"/>
      <c r="Z10" s="8" t="inlineStr">
        <is>
          <t>Not started</t>
        </is>
      </c>
      <c r="AA10" s="8" t="n"/>
      <c r="AB10" s="8" t="n"/>
      <c r="AC10" s="8" t="n"/>
      <c r="AD10" s="8" t="n"/>
      <c r="AE10" s="8" t="n"/>
      <c r="AF10" s="8" t="n"/>
      <c r="AG10" s="8" t="n"/>
      <c r="AH10" s="8" t="n"/>
      <c r="AI10" s="8" t="n"/>
      <c r="AJ10" s="8">
        <f>IF(OR(AH10="",'Submission &amp; QC'!$C$18=""),"",IF(AND(ABS(AH10-'Submission &amp; QC'!$C$18)&lt;=0.0005*ABS('Submission &amp; QC'!$C$18),ABS(AI10-'Submission &amp; QC'!$C$19)&lt;=0.0005*ABS('Submission &amp; QC'!$C$19)),"Pass","Fail"))</f>
        <v/>
      </c>
      <c r="AK10" s="8" t="n"/>
      <c r="AL10" s="8" t="n"/>
    </row>
    <row r="11" ht="180" customHeight="1">
      <c r="A11" s="3" t="inlineStr">
        <is>
          <t>A010</t>
        </is>
      </c>
      <c r="B11" s="7" t="inlineStr">
        <is>
          <t>A</t>
        </is>
      </c>
      <c r="C11" s="3" t="n">
        <v>2</v>
      </c>
      <c r="D11" s="3" t="inlineStr">
        <is>
          <t>Install</t>
        </is>
      </c>
      <c r="E11" s="3" t="inlineStr">
        <is>
          <t>INST-Region-Any-Large-Clust-Small</t>
        </is>
      </c>
      <c r="F11" s="3" t="inlineStr">
        <is>
          <t>Install large modules, clustered, any eligible depth (10-100 m), Whole model area, small budget ($0.1-1 M)</t>
        </is>
      </c>
      <c r="G11" s="3" t="inlineStr">
        <is>
          <t>Whole model area</t>
        </is>
      </c>
      <c r="H11" s="3" t="inlineStr">
        <is>
          <t>Any eligible depth (10-100 m)</t>
        </is>
      </c>
      <c r="I11" s="3" t="inlineStr">
        <is>
          <t>Large module ($12,000; 20 m2; 6 m tall)</t>
        </is>
      </c>
      <c r="J11" s="3" t="inlineStr">
        <is>
          <t>Clustered (favour cells next to existing modules)</t>
        </is>
      </c>
      <c r="K11" s="3" t="inlineStr">
        <is>
          <t>Small: $0.1-1 M</t>
        </is>
      </c>
      <c r="L11" s="3" t="n"/>
      <c r="M11" s="3" t="n"/>
      <c r="N11" s="3" t="n"/>
      <c r="O11" s="3" t="n"/>
      <c r="P11" s="3" t="n"/>
      <c r="Q11" s="3" t="n"/>
      <c r="R11" s="3" t="inlineStr">
        <is>
          <t>Strategy &gt; Strategy: Install new structures
Installation &gt; Maximum budget per scenario (USD): 1,000,000
Installation &gt; Minimum budget per scenario (USD): 100,000
Installation &gt; How budgets are drawn: Uniform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1,010</t>
        </is>
      </c>
      <c r="S11" s="3" t="inlineStr">
        <is>
          <t>A010_INST-Region-Any-Large-Clust-Small.json</t>
        </is>
      </c>
      <c r="T11" s="3" t="n">
        <v>100</v>
      </c>
      <c r="U11" s="3" t="n">
        <v>1010</v>
      </c>
      <c r="V11" s="3" t="n">
        <v>988</v>
      </c>
      <c r="W11" s="3" t="n"/>
      <c r="X11" s="3">
        <f>ROUND((T11+1)*'Read me'!$C$14/60,1)</f>
        <v/>
      </c>
      <c r="Y11" s="8" t="n"/>
      <c r="Z11" s="8" t="inlineStr">
        <is>
          <t>Not started</t>
        </is>
      </c>
      <c r="AA11" s="8" t="n"/>
      <c r="AB11" s="8" t="n"/>
      <c r="AC11" s="8" t="n"/>
      <c r="AD11" s="8" t="n"/>
      <c r="AE11" s="8" t="n"/>
      <c r="AF11" s="8" t="n"/>
      <c r="AG11" s="8" t="n"/>
      <c r="AH11" s="8" t="n"/>
      <c r="AI11" s="8" t="n"/>
      <c r="AJ11" s="8">
        <f>IF(OR(AH11="",'Submission &amp; QC'!$C$18=""),"",IF(AND(ABS(AH11-'Submission &amp; QC'!$C$18)&lt;=0.0005*ABS('Submission &amp; QC'!$C$18),ABS(AI11-'Submission &amp; QC'!$C$19)&lt;=0.0005*ABS('Submission &amp; QC'!$C$19)),"Pass","Fail"))</f>
        <v/>
      </c>
      <c r="AK11" s="8" t="n"/>
      <c r="AL11" s="8" t="n"/>
    </row>
    <row r="12" ht="180" customHeight="1">
      <c r="A12" s="3" t="inlineStr">
        <is>
          <t>A011</t>
        </is>
      </c>
      <c r="B12" s="7" t="inlineStr">
        <is>
          <t>A</t>
        </is>
      </c>
      <c r="C12" s="3" t="n">
        <v>2</v>
      </c>
      <c r="D12" s="3" t="inlineStr">
        <is>
          <t>Install</t>
        </is>
      </c>
      <c r="E12" s="3" t="inlineStr">
        <is>
          <t>INST-Region-Any-Large-Clust-Medium</t>
        </is>
      </c>
      <c r="F12" s="3" t="inlineStr">
        <is>
          <t>Install large modules, clustered, any eligible depth (10-100 m), Whole model area, medium budget ($1-5 M)</t>
        </is>
      </c>
      <c r="G12" s="3" t="inlineStr">
        <is>
          <t>Whole model area</t>
        </is>
      </c>
      <c r="H12" s="3" t="inlineStr">
        <is>
          <t>Any eligible depth (10-100 m)</t>
        </is>
      </c>
      <c r="I12" s="3" t="inlineStr">
        <is>
          <t>Large module ($12,000; 20 m2; 6 m tall)</t>
        </is>
      </c>
      <c r="J12" s="3" t="inlineStr">
        <is>
          <t>Clustered (favour cells next to existing modules)</t>
        </is>
      </c>
      <c r="K12" s="3" t="inlineStr">
        <is>
          <t>Medium: $1-5 M</t>
        </is>
      </c>
      <c r="L12" s="3" t="n"/>
      <c r="M12" s="3" t="n"/>
      <c r="N12" s="3" t="n"/>
      <c r="O12" s="3" t="n"/>
      <c r="P12" s="3" t="n"/>
      <c r="Q12" s="3" t="n"/>
      <c r="R12" s="3" t="inlineStr">
        <is>
          <t>Strategy &gt; Strategy: Install new structures
Installation &gt; Maximum budget per scenario (USD): 5,000,000
Installation &gt; Minimum budget per scenario (USD): 1,000,000
Installation &gt; How budgets are drawn: Uniform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1,011</t>
        </is>
      </c>
      <c r="S12" s="3" t="inlineStr">
        <is>
          <t>A011_INST-Region-Any-Large-Clust-Medium.json</t>
        </is>
      </c>
      <c r="T12" s="3" t="n">
        <v>100</v>
      </c>
      <c r="U12" s="3" t="n">
        <v>1011</v>
      </c>
      <c r="V12" s="3" t="n">
        <v>988</v>
      </c>
      <c r="W12" s="3" t="n"/>
      <c r="X12" s="3">
        <f>ROUND((T12+1)*'Read me'!$C$14/60,1)</f>
        <v/>
      </c>
      <c r="Y12" s="8" t="n"/>
      <c r="Z12" s="8" t="inlineStr">
        <is>
          <t>Not started</t>
        </is>
      </c>
      <c r="AA12" s="8" t="n"/>
      <c r="AB12" s="8" t="n"/>
      <c r="AC12" s="8" t="n"/>
      <c r="AD12" s="8" t="n"/>
      <c r="AE12" s="8" t="n"/>
      <c r="AF12" s="8" t="n"/>
      <c r="AG12" s="8" t="n"/>
      <c r="AH12" s="8" t="n"/>
      <c r="AI12" s="8" t="n"/>
      <c r="AJ12" s="8">
        <f>IF(OR(AH12="",'Submission &amp; QC'!$C$18=""),"",IF(AND(ABS(AH12-'Submission &amp; QC'!$C$18)&lt;=0.0005*ABS('Submission &amp; QC'!$C$18),ABS(AI12-'Submission &amp; QC'!$C$19)&lt;=0.0005*ABS('Submission &amp; QC'!$C$19)),"Pass","Fail"))</f>
        <v/>
      </c>
      <c r="AK12" s="8" t="n"/>
      <c r="AL12" s="8" t="n"/>
    </row>
    <row r="13" ht="180" customHeight="1">
      <c r="A13" s="3" t="inlineStr">
        <is>
          <t>A012</t>
        </is>
      </c>
      <c r="B13" s="7" t="inlineStr">
        <is>
          <t>A</t>
        </is>
      </c>
      <c r="C13" s="3" t="n">
        <v>2</v>
      </c>
      <c r="D13" s="3" t="inlineStr">
        <is>
          <t>Install</t>
        </is>
      </c>
      <c r="E13" s="3" t="inlineStr">
        <is>
          <t>INST-Region-Any-Large-Clust-Large</t>
        </is>
      </c>
      <c r="F13" s="3" t="inlineStr">
        <is>
          <t>Install large modules, clustered, any eligible depth (10-100 m), Whole model area, large budget ($5-15 M)</t>
        </is>
      </c>
      <c r="G13" s="3" t="inlineStr">
        <is>
          <t>Whole model area</t>
        </is>
      </c>
      <c r="H13" s="3" t="inlineStr">
        <is>
          <t>Any eligible depth (10-100 m)</t>
        </is>
      </c>
      <c r="I13" s="3" t="inlineStr">
        <is>
          <t>Large module ($12,000; 20 m2; 6 m tall)</t>
        </is>
      </c>
      <c r="J13" s="3" t="inlineStr">
        <is>
          <t>Clustered (favour cells next to existing modules)</t>
        </is>
      </c>
      <c r="K13" s="3" t="inlineStr">
        <is>
          <t>Large: $5-15 M</t>
        </is>
      </c>
      <c r="L13" s="3" t="n"/>
      <c r="M13" s="3" t="n"/>
      <c r="N13" s="3" t="n"/>
      <c r="O13" s="3" t="n"/>
      <c r="P13" s="3" t="n"/>
      <c r="Q13" s="3" t="n"/>
      <c r="R13" s="3" t="inlineStr">
        <is>
          <t>Strategy &gt; Strategy: Install new structures
Installation &gt; Maximum budget per scenario (USD): 15,000,000
Installation &gt; Minimum budget per scenario (USD): 5,000,000
Installation &gt; How budgets are drawn: Uniform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1,012</t>
        </is>
      </c>
      <c r="S13" s="3" t="inlineStr">
        <is>
          <t>A012_INST-Region-Any-Large-Clust-Large.json</t>
        </is>
      </c>
      <c r="T13" s="3" t="n">
        <v>100</v>
      </c>
      <c r="U13" s="3" t="n">
        <v>1012</v>
      </c>
      <c r="V13" s="3" t="n">
        <v>988</v>
      </c>
      <c r="W13" s="3" t="n"/>
      <c r="X13" s="3">
        <f>ROUND((T13+1)*'Read me'!$C$14/60,1)</f>
        <v/>
      </c>
      <c r="Y13" s="8" t="n"/>
      <c r="Z13" s="8" t="inlineStr">
        <is>
          <t>Not started</t>
        </is>
      </c>
      <c r="AA13" s="8" t="n"/>
      <c r="AB13" s="8" t="n"/>
      <c r="AC13" s="8" t="n"/>
      <c r="AD13" s="8" t="n"/>
      <c r="AE13" s="8" t="n"/>
      <c r="AF13" s="8" t="n"/>
      <c r="AG13" s="8" t="n"/>
      <c r="AH13" s="8" t="n"/>
      <c r="AI13" s="8" t="n"/>
      <c r="AJ13" s="8">
        <f>IF(OR(AH13="",'Submission &amp; QC'!$C$18=""),"",IF(AND(ABS(AH13-'Submission &amp; QC'!$C$18)&lt;=0.0005*ABS('Submission &amp; QC'!$C$18),ABS(AI13-'Submission &amp; QC'!$C$19)&lt;=0.0005*ABS('Submission &amp; QC'!$C$19)),"Pass","Fail"))</f>
        <v/>
      </c>
      <c r="AK13" s="8" t="n"/>
      <c r="AL13" s="8" t="n"/>
    </row>
    <row r="14" ht="150" customHeight="1">
      <c r="A14" s="3" t="inlineStr">
        <is>
          <t>A013</t>
        </is>
      </c>
      <c r="B14" s="7" t="inlineStr">
        <is>
          <t>A</t>
        </is>
      </c>
      <c r="C14" s="3" t="n">
        <v>1</v>
      </c>
      <c r="D14" s="3" t="inlineStr">
        <is>
          <t>Install</t>
        </is>
      </c>
      <c r="E14" s="3" t="inlineStr">
        <is>
          <t>INST-Region-Shallow-Std-Disp-Small</t>
        </is>
      </c>
      <c r="F14" s="3" t="inlineStr">
        <is>
          <t>Install standard prefab modules, dispersed, shallow (10-30 m), Whole model area, small budget ($0.1-1 M)</t>
        </is>
      </c>
      <c r="G14" s="3" t="inlineStr">
        <is>
          <t>Whole model area</t>
        </is>
      </c>
      <c r="H14" s="3" t="inlineStr">
        <is>
          <t>Shallow (10-30 m)</t>
        </is>
      </c>
      <c r="I14" s="3" t="inlineStr">
        <is>
          <t>Standard prefab module ($2,500; 6 m2; 3 m tall)</t>
        </is>
      </c>
      <c r="J14" s="3" t="inlineStr">
        <is>
          <t>Dispersed (no connectivity preference)</t>
        </is>
      </c>
      <c r="K14" s="3" t="inlineStr">
        <is>
          <t>Small: $0.1-1 M</t>
        </is>
      </c>
      <c r="L14" s="3" t="n"/>
      <c r="M14" s="3" t="n"/>
      <c r="N14" s="3" t="n"/>
      <c r="O14" s="3" t="n"/>
      <c r="P14" s="3" t="n"/>
      <c r="Q14" s="3" t="n"/>
      <c r="R14" s="3" t="inlineStr">
        <is>
          <t>Strategy &gt; Strategy: Install new structures
Installation &gt; Maximum budget per scenario (USD): 1,000,000
Installation &gt; Minimum budget per scenario (USD): 100,000
Installation &gt; How budgets are drawn: Uniform
Installation &gt; Min depth (m): 10
Installation &gt; Max depth (m): 30
Installation &gt; Favour cells next to existing modules: unticked
Live solver / Search &gt; Number of scenarios to run: 100
Search &gt; Search algorithm: Random search
Search &gt; Random seed: 1,013</t>
        </is>
      </c>
      <c r="S14" s="3" t="inlineStr">
        <is>
          <t>A013_INST-Region-Shallow-Std-Disp-Small.json</t>
        </is>
      </c>
      <c r="T14" s="3" t="n">
        <v>100</v>
      </c>
      <c r="U14" s="3" t="n">
        <v>1013</v>
      </c>
      <c r="V14" s="3" t="n">
        <v>330</v>
      </c>
      <c r="W14" s="3" t="n"/>
      <c r="X14" s="3">
        <f>ROUND((T14+1)*'Read me'!$C$14/60,1)</f>
        <v/>
      </c>
      <c r="Y14" s="8" t="n"/>
      <c r="Z14" s="8" t="inlineStr">
        <is>
          <t>Not started</t>
        </is>
      </c>
      <c r="AA14" s="8" t="n"/>
      <c r="AB14" s="8" t="n"/>
      <c r="AC14" s="8" t="n"/>
      <c r="AD14" s="8" t="n"/>
      <c r="AE14" s="8" t="n"/>
      <c r="AF14" s="8" t="n"/>
      <c r="AG14" s="8" t="n"/>
      <c r="AH14" s="8" t="n"/>
      <c r="AI14" s="8" t="n"/>
      <c r="AJ14" s="8">
        <f>IF(OR(AH14="",'Submission &amp; QC'!$C$18=""),"",IF(AND(ABS(AH14-'Submission &amp; QC'!$C$18)&lt;=0.0005*ABS('Submission &amp; QC'!$C$18),ABS(AI14-'Submission &amp; QC'!$C$19)&lt;=0.0005*ABS('Submission &amp; QC'!$C$19)),"Pass","Fail"))</f>
        <v/>
      </c>
      <c r="AK14" s="8" t="n"/>
      <c r="AL14" s="8" t="n"/>
    </row>
    <row r="15" ht="150" customHeight="1">
      <c r="A15" s="3" t="inlineStr">
        <is>
          <t>A014</t>
        </is>
      </c>
      <c r="B15" s="7" t="inlineStr">
        <is>
          <t>A</t>
        </is>
      </c>
      <c r="C15" s="3" t="n">
        <v>1</v>
      </c>
      <c r="D15" s="3" t="inlineStr">
        <is>
          <t>Install</t>
        </is>
      </c>
      <c r="E15" s="3" t="inlineStr">
        <is>
          <t>INST-Region-Shallow-Std-Disp-Medium</t>
        </is>
      </c>
      <c r="F15" s="3" t="inlineStr">
        <is>
          <t>Install standard prefab modules, dispersed, shallow (10-30 m), Whole model area, medium budget ($1-5 M)</t>
        </is>
      </c>
      <c r="G15" s="3" t="inlineStr">
        <is>
          <t>Whole model area</t>
        </is>
      </c>
      <c r="H15" s="3" t="inlineStr">
        <is>
          <t>Shallow (10-30 m)</t>
        </is>
      </c>
      <c r="I15" s="3" t="inlineStr">
        <is>
          <t>Standard prefab module ($2,500; 6 m2; 3 m tall)</t>
        </is>
      </c>
      <c r="J15" s="3" t="inlineStr">
        <is>
          <t>Dispersed (no connectivity preference)</t>
        </is>
      </c>
      <c r="K15" s="3" t="inlineStr">
        <is>
          <t>Medium: $1-5 M</t>
        </is>
      </c>
      <c r="L15" s="3" t="n"/>
      <c r="M15" s="3" t="n"/>
      <c r="N15" s="3" t="n"/>
      <c r="O15" s="3" t="n"/>
      <c r="P15" s="3" t="n"/>
      <c r="Q15" s="3" t="n"/>
      <c r="R15" s="3" t="inlineStr">
        <is>
          <t>Strategy &gt; Strategy: Install new structures
Installation &gt; Maximum budget per scenario (USD): 5,000,000
Installation &gt; Minimum budget per scenario (USD): 1,000,000
Installation &gt; How budgets are drawn: Uniform
Installation &gt; Min depth (m): 10
Installation &gt; Max depth (m): 30
Installation &gt; Favour cells next to existing modules: unticked
Live solver / Search &gt; Number of scenarios to run: 100
Search &gt; Search algorithm: Random search
Search &gt; Random seed: 1,014</t>
        </is>
      </c>
      <c r="S15" s="3" t="inlineStr">
        <is>
          <t>A014_INST-Region-Shallow-Std-Disp-Medium.json</t>
        </is>
      </c>
      <c r="T15" s="3" t="n">
        <v>100</v>
      </c>
      <c r="U15" s="3" t="n">
        <v>1014</v>
      </c>
      <c r="V15" s="3" t="n">
        <v>330</v>
      </c>
      <c r="W15" s="3" t="n"/>
      <c r="X15" s="3">
        <f>ROUND((T15+1)*'Read me'!$C$14/60,1)</f>
        <v/>
      </c>
      <c r="Y15" s="8" t="n"/>
      <c r="Z15" s="8" t="inlineStr">
        <is>
          <t>Not started</t>
        </is>
      </c>
      <c r="AA15" s="8" t="n"/>
      <c r="AB15" s="8" t="n"/>
      <c r="AC15" s="8" t="n"/>
      <c r="AD15" s="8" t="n"/>
      <c r="AE15" s="8" t="n"/>
      <c r="AF15" s="8" t="n"/>
      <c r="AG15" s="8" t="n"/>
      <c r="AH15" s="8" t="n"/>
      <c r="AI15" s="8" t="n"/>
      <c r="AJ15" s="8">
        <f>IF(OR(AH15="",'Submission &amp; QC'!$C$18=""),"",IF(AND(ABS(AH15-'Submission &amp; QC'!$C$18)&lt;=0.0005*ABS('Submission &amp; QC'!$C$18),ABS(AI15-'Submission &amp; QC'!$C$19)&lt;=0.0005*ABS('Submission &amp; QC'!$C$19)),"Pass","Fail"))</f>
        <v/>
      </c>
      <c r="AK15" s="8" t="n"/>
      <c r="AL15" s="8" t="n"/>
    </row>
    <row r="16" ht="150" customHeight="1">
      <c r="A16" s="3" t="inlineStr">
        <is>
          <t>A015</t>
        </is>
      </c>
      <c r="B16" s="7" t="inlineStr">
        <is>
          <t>A</t>
        </is>
      </c>
      <c r="C16" s="3" t="n">
        <v>1</v>
      </c>
      <c r="D16" s="3" t="inlineStr">
        <is>
          <t>Install</t>
        </is>
      </c>
      <c r="E16" s="3" t="inlineStr">
        <is>
          <t>INST-Region-Shallow-Std-Disp-Large</t>
        </is>
      </c>
      <c r="F16" s="3" t="inlineStr">
        <is>
          <t>Install standard prefab modules, dispersed, shallow (10-30 m), Whole model area, large budget ($5-15 M)</t>
        </is>
      </c>
      <c r="G16" s="3" t="inlineStr">
        <is>
          <t>Whole model area</t>
        </is>
      </c>
      <c r="H16" s="3" t="inlineStr">
        <is>
          <t>Shallow (10-30 m)</t>
        </is>
      </c>
      <c r="I16" s="3" t="inlineStr">
        <is>
          <t>Standard prefab module ($2,500; 6 m2; 3 m tall)</t>
        </is>
      </c>
      <c r="J16" s="3" t="inlineStr">
        <is>
          <t>Dispersed (no connectivity preference)</t>
        </is>
      </c>
      <c r="K16" s="3" t="inlineStr">
        <is>
          <t>Large: $5-15 M</t>
        </is>
      </c>
      <c r="L16" s="3" t="n"/>
      <c r="M16" s="3" t="n"/>
      <c r="N16" s="3" t="n"/>
      <c r="O16" s="3" t="n"/>
      <c r="P16" s="3" t="n"/>
      <c r="Q16" s="3" t="n"/>
      <c r="R16" s="3" t="inlineStr">
        <is>
          <t>Strategy &gt; Strategy: Install new structures
Installation &gt; Maximum budget per scenario (USD): 15,000,000
Installation &gt; Minimum budget per scenario (USD): 5,000,000
Installation &gt; How budgets are drawn: Uniform
Installation &gt; Min depth (m): 10
Installation &gt; Max depth (m): 30
Installation &gt; Favour cells next to existing modules: unticked
Live solver / Search &gt; Number of scenarios to run: 100
Search &gt; Search algorithm: Random search
Search &gt; Random seed: 1,015</t>
        </is>
      </c>
      <c r="S16" s="3" t="inlineStr">
        <is>
          <t>A015_INST-Region-Shallow-Std-Disp-Large.json</t>
        </is>
      </c>
      <c r="T16" s="3" t="n">
        <v>100</v>
      </c>
      <c r="U16" s="3" t="n">
        <v>1015</v>
      </c>
      <c r="V16" s="3" t="n">
        <v>330</v>
      </c>
      <c r="W16" s="3" t="n"/>
      <c r="X16" s="3">
        <f>ROUND((T16+1)*'Read me'!$C$14/60,1)</f>
        <v/>
      </c>
      <c r="Y16" s="8" t="n"/>
      <c r="Z16" s="8" t="inlineStr">
        <is>
          <t>Not started</t>
        </is>
      </c>
      <c r="AA16" s="8" t="n"/>
      <c r="AB16" s="8" t="n"/>
      <c r="AC16" s="8" t="n"/>
      <c r="AD16" s="8" t="n"/>
      <c r="AE16" s="8" t="n"/>
      <c r="AF16" s="8" t="n"/>
      <c r="AG16" s="8" t="n"/>
      <c r="AH16" s="8" t="n"/>
      <c r="AI16" s="8" t="n"/>
      <c r="AJ16" s="8">
        <f>IF(OR(AH16="",'Submission &amp; QC'!$C$18=""),"",IF(AND(ABS(AH16-'Submission &amp; QC'!$C$18)&lt;=0.0005*ABS('Submission &amp; QC'!$C$18),ABS(AI16-'Submission &amp; QC'!$C$19)&lt;=0.0005*ABS('Submission &amp; QC'!$C$19)),"Pass","Fail"))</f>
        <v/>
      </c>
      <c r="AK16" s="8" t="n"/>
      <c r="AL16" s="8" t="n"/>
    </row>
    <row r="17" ht="165" customHeight="1">
      <c r="A17" s="3" t="inlineStr">
        <is>
          <t>A016</t>
        </is>
      </c>
      <c r="B17" s="7" t="inlineStr">
        <is>
          <t>A</t>
        </is>
      </c>
      <c r="C17" s="3" t="n">
        <v>1</v>
      </c>
      <c r="D17" s="3" t="inlineStr">
        <is>
          <t>Install</t>
        </is>
      </c>
      <c r="E17" s="3" t="inlineStr">
        <is>
          <t>INST-Region-Shallow-Std-Clust-Small</t>
        </is>
      </c>
      <c r="F17" s="3" t="inlineStr">
        <is>
          <t>Install standard prefab modules, clustered, shallow (10-30 m), Whole model area, small budget ($0.1-1 M)</t>
        </is>
      </c>
      <c r="G17" s="3" t="inlineStr">
        <is>
          <t>Whole model area</t>
        </is>
      </c>
      <c r="H17" s="3" t="inlineStr">
        <is>
          <t>Shallow (10-30 m)</t>
        </is>
      </c>
      <c r="I17" s="3" t="inlineStr">
        <is>
          <t>Standard prefab module ($2,500; 6 m2; 3 m tall)</t>
        </is>
      </c>
      <c r="J17" s="3" t="inlineStr">
        <is>
          <t>Clustered (favour cells next to existing modules)</t>
        </is>
      </c>
      <c r="K17" s="3" t="inlineStr">
        <is>
          <t>Small: $0.1-1 M</t>
        </is>
      </c>
      <c r="L17" s="3" t="n"/>
      <c r="M17" s="3" t="n"/>
      <c r="N17" s="3" t="n"/>
      <c r="O17" s="3" t="n"/>
      <c r="P17" s="3" t="n"/>
      <c r="Q17" s="3" t="n"/>
      <c r="R17" s="3" t="inlineStr">
        <is>
          <t>Strategy &gt; Strategy: Install new structures
Installation &gt; Maximum budget per scenario (USD): 1,000,000
Installation &gt; Minimum budget per scenario (USD): 100,000
Installation &gt; How budgets are drawn: Uniform
Installation &gt; Min depth (m): 10
Installation &gt; Max depth (m): 30
Installation &gt; Favour cells next to existing modules: ticked
Installation &gt; Connectivity bonus: 10
Live solver / Search &gt; Number of scenarios to run: 100
Search &gt; Search algorithm: Random search
Search &gt; Random seed: 1,016</t>
        </is>
      </c>
      <c r="S17" s="3" t="inlineStr">
        <is>
          <t>A016_INST-Region-Shallow-Std-Clust-Small.json</t>
        </is>
      </c>
      <c r="T17" s="3" t="n">
        <v>100</v>
      </c>
      <c r="U17" s="3" t="n">
        <v>1016</v>
      </c>
      <c r="V17" s="3" t="n">
        <v>330</v>
      </c>
      <c r="W17" s="3" t="n"/>
      <c r="X17" s="3">
        <f>ROUND((T17+1)*'Read me'!$C$14/60,1)</f>
        <v/>
      </c>
      <c r="Y17" s="8" t="n"/>
      <c r="Z17" s="8" t="inlineStr">
        <is>
          <t>Not started</t>
        </is>
      </c>
      <c r="AA17" s="8" t="n"/>
      <c r="AB17" s="8" t="n"/>
      <c r="AC17" s="8" t="n"/>
      <c r="AD17" s="8" t="n"/>
      <c r="AE17" s="8" t="n"/>
      <c r="AF17" s="8" t="n"/>
      <c r="AG17" s="8" t="n"/>
      <c r="AH17" s="8" t="n"/>
      <c r="AI17" s="8" t="n"/>
      <c r="AJ17" s="8">
        <f>IF(OR(AH17="",'Submission &amp; QC'!$C$18=""),"",IF(AND(ABS(AH17-'Submission &amp; QC'!$C$18)&lt;=0.0005*ABS('Submission &amp; QC'!$C$18),ABS(AI17-'Submission &amp; QC'!$C$19)&lt;=0.0005*ABS('Submission &amp; QC'!$C$19)),"Pass","Fail"))</f>
        <v/>
      </c>
      <c r="AK17" s="8" t="n"/>
      <c r="AL17" s="8" t="n"/>
    </row>
    <row r="18" ht="165" customHeight="1">
      <c r="A18" s="3" t="inlineStr">
        <is>
          <t>A017</t>
        </is>
      </c>
      <c r="B18" s="7" t="inlineStr">
        <is>
          <t>A</t>
        </is>
      </c>
      <c r="C18" s="3" t="n">
        <v>1</v>
      </c>
      <c r="D18" s="3" t="inlineStr">
        <is>
          <t>Install</t>
        </is>
      </c>
      <c r="E18" s="3" t="inlineStr">
        <is>
          <t>INST-Region-Shallow-Std-Clust-Medium</t>
        </is>
      </c>
      <c r="F18" s="3" t="inlineStr">
        <is>
          <t>Install standard prefab modules, clustered, shallow (10-30 m), Whole model area, medium budget ($1-5 M)</t>
        </is>
      </c>
      <c r="G18" s="3" t="inlineStr">
        <is>
          <t>Whole model area</t>
        </is>
      </c>
      <c r="H18" s="3" t="inlineStr">
        <is>
          <t>Shallow (10-30 m)</t>
        </is>
      </c>
      <c r="I18" s="3" t="inlineStr">
        <is>
          <t>Standard prefab module ($2,500; 6 m2; 3 m tall)</t>
        </is>
      </c>
      <c r="J18" s="3" t="inlineStr">
        <is>
          <t>Clustered (favour cells next to existing modules)</t>
        </is>
      </c>
      <c r="K18" s="3" t="inlineStr">
        <is>
          <t>Medium: $1-5 M</t>
        </is>
      </c>
      <c r="L18" s="3" t="n"/>
      <c r="M18" s="3" t="n"/>
      <c r="N18" s="3" t="n"/>
      <c r="O18" s="3" t="n"/>
      <c r="P18" s="3" t="n"/>
      <c r="Q18" s="3" t="n"/>
      <c r="R18" s="3" t="inlineStr">
        <is>
          <t>Strategy &gt; Strategy: Install new structures
Installation &gt; Maximum budget per scenario (USD): 5,000,000
Installation &gt; Minimum budget per scenario (USD): 1,000,000
Installation &gt; How budgets are drawn: Uniform
Installation &gt; Min depth (m): 10
Installation &gt; Max depth (m): 30
Installation &gt; Favour cells next to existing modules: ticked
Installation &gt; Connectivity bonus: 10
Live solver / Search &gt; Number of scenarios to run: 100
Search &gt; Search algorithm: Random search
Search &gt; Random seed: 1,017</t>
        </is>
      </c>
      <c r="S18" s="3" t="inlineStr">
        <is>
          <t>A017_INST-Region-Shallow-Std-Clust-Medium.json</t>
        </is>
      </c>
      <c r="T18" s="3" t="n">
        <v>100</v>
      </c>
      <c r="U18" s="3" t="n">
        <v>1017</v>
      </c>
      <c r="V18" s="3" t="n">
        <v>330</v>
      </c>
      <c r="W18" s="3" t="n"/>
      <c r="X18" s="3">
        <f>ROUND((T18+1)*'Read me'!$C$14/60,1)</f>
        <v/>
      </c>
      <c r="Y18" s="8" t="n"/>
      <c r="Z18" s="8" t="inlineStr">
        <is>
          <t>Not started</t>
        </is>
      </c>
      <c r="AA18" s="8" t="n"/>
      <c r="AB18" s="8" t="n"/>
      <c r="AC18" s="8" t="n"/>
      <c r="AD18" s="8" t="n"/>
      <c r="AE18" s="8" t="n"/>
      <c r="AF18" s="8" t="n"/>
      <c r="AG18" s="8" t="n"/>
      <c r="AH18" s="8" t="n"/>
      <c r="AI18" s="8" t="n"/>
      <c r="AJ18" s="8">
        <f>IF(OR(AH18="",'Submission &amp; QC'!$C$18=""),"",IF(AND(ABS(AH18-'Submission &amp; QC'!$C$18)&lt;=0.0005*ABS('Submission &amp; QC'!$C$18),ABS(AI18-'Submission &amp; QC'!$C$19)&lt;=0.0005*ABS('Submission &amp; QC'!$C$19)),"Pass","Fail"))</f>
        <v/>
      </c>
      <c r="AK18" s="8" t="n"/>
      <c r="AL18" s="8" t="n"/>
    </row>
    <row r="19" ht="165" customHeight="1">
      <c r="A19" s="3" t="inlineStr">
        <is>
          <t>A018</t>
        </is>
      </c>
      <c r="B19" s="7" t="inlineStr">
        <is>
          <t>A</t>
        </is>
      </c>
      <c r="C19" s="3" t="n">
        <v>1</v>
      </c>
      <c r="D19" s="3" t="inlineStr">
        <is>
          <t>Install</t>
        </is>
      </c>
      <c r="E19" s="3" t="inlineStr">
        <is>
          <t>INST-Region-Shallow-Std-Clust-Large</t>
        </is>
      </c>
      <c r="F19" s="3" t="inlineStr">
        <is>
          <t>Install standard prefab modules, clustered, shallow (10-30 m), Whole model area, large budget ($5-15 M)</t>
        </is>
      </c>
      <c r="G19" s="3" t="inlineStr">
        <is>
          <t>Whole model area</t>
        </is>
      </c>
      <c r="H19" s="3" t="inlineStr">
        <is>
          <t>Shallow (10-30 m)</t>
        </is>
      </c>
      <c r="I19" s="3" t="inlineStr">
        <is>
          <t>Standard prefab module ($2,500; 6 m2; 3 m tall)</t>
        </is>
      </c>
      <c r="J19" s="3" t="inlineStr">
        <is>
          <t>Clustered (favour cells next to existing modules)</t>
        </is>
      </c>
      <c r="K19" s="3" t="inlineStr">
        <is>
          <t>Large: $5-15 M</t>
        </is>
      </c>
      <c r="L19" s="3" t="n"/>
      <c r="M19" s="3" t="n"/>
      <c r="N19" s="3" t="n"/>
      <c r="O19" s="3" t="n"/>
      <c r="P19" s="3" t="n"/>
      <c r="Q19" s="3" t="n"/>
      <c r="R19" s="3" t="inlineStr">
        <is>
          <t>Strategy &gt; Strategy: Install new structures
Installation &gt; Maximum budget per scenario (USD): 15,000,000
Installation &gt; Minimum budget per scenario (USD): 5,000,000
Installation &gt; How budgets are drawn: Uniform
Installation &gt; Min depth (m): 10
Installation &gt; Max depth (m): 30
Installation &gt; Favour cells next to existing modules: ticked
Installation &gt; Connectivity bonus: 10
Live solver / Search &gt; Number of scenarios to run: 100
Search &gt; Search algorithm: Random search
Search &gt; Random seed: 1,018</t>
        </is>
      </c>
      <c r="S19" s="3" t="inlineStr">
        <is>
          <t>A018_INST-Region-Shallow-Std-Clust-Large.json</t>
        </is>
      </c>
      <c r="T19" s="3" t="n">
        <v>100</v>
      </c>
      <c r="U19" s="3" t="n">
        <v>1018</v>
      </c>
      <c r="V19" s="3" t="n">
        <v>330</v>
      </c>
      <c r="W19" s="3" t="n"/>
      <c r="X19" s="3">
        <f>ROUND((T19+1)*'Read me'!$C$14/60,1)</f>
        <v/>
      </c>
      <c r="Y19" s="8" t="n"/>
      <c r="Z19" s="8" t="inlineStr">
        <is>
          <t>Not started</t>
        </is>
      </c>
      <c r="AA19" s="8" t="n"/>
      <c r="AB19" s="8" t="n"/>
      <c r="AC19" s="8" t="n"/>
      <c r="AD19" s="8" t="n"/>
      <c r="AE19" s="8" t="n"/>
      <c r="AF19" s="8" t="n"/>
      <c r="AG19" s="8" t="n"/>
      <c r="AH19" s="8" t="n"/>
      <c r="AI19" s="8" t="n"/>
      <c r="AJ19" s="8">
        <f>IF(OR(AH19="",'Submission &amp; QC'!$C$18=""),"",IF(AND(ABS(AH19-'Submission &amp; QC'!$C$18)&lt;=0.0005*ABS('Submission &amp; QC'!$C$18),ABS(AI19-'Submission &amp; QC'!$C$19)&lt;=0.0005*ABS('Submission &amp; QC'!$C$19)),"Pass","Fail"))</f>
        <v/>
      </c>
      <c r="AK19" s="8" t="n"/>
      <c r="AL19" s="8" t="n"/>
    </row>
    <row r="20" ht="195" customHeight="1">
      <c r="A20" s="3" t="inlineStr">
        <is>
          <t>A019</t>
        </is>
      </c>
      <c r="B20" s="7" t="inlineStr">
        <is>
          <t>A</t>
        </is>
      </c>
      <c r="C20" s="3" t="n">
        <v>2</v>
      </c>
      <c r="D20" s="3" t="inlineStr">
        <is>
          <t>Install</t>
        </is>
      </c>
      <c r="E20" s="3" t="inlineStr">
        <is>
          <t>INST-Region-Shallow-Large-Disp-Small</t>
        </is>
      </c>
      <c r="F20" s="3" t="inlineStr">
        <is>
          <t>Install large modules, dispersed, shallow (10-30 m), Whole model area, small budget ($0.1-1 M)</t>
        </is>
      </c>
      <c r="G20" s="3" t="inlineStr">
        <is>
          <t>Whole model area</t>
        </is>
      </c>
      <c r="H20" s="3" t="inlineStr">
        <is>
          <t>Shallow (10-30 m)</t>
        </is>
      </c>
      <c r="I20" s="3" t="inlineStr">
        <is>
          <t>Large module ($12,000; 20 m2; 6 m tall)</t>
        </is>
      </c>
      <c r="J20" s="3" t="inlineStr">
        <is>
          <t>Dispersed (no connectivity preference)</t>
        </is>
      </c>
      <c r="K20" s="3" t="inlineStr">
        <is>
          <t>Small: $0.1-1 M</t>
        </is>
      </c>
      <c r="L20" s="3" t="n"/>
      <c r="M20" s="3" t="n"/>
      <c r="N20" s="3" t="n"/>
      <c r="O20" s="3" t="n"/>
      <c r="P20" s="3" t="n"/>
      <c r="Q20" s="3" t="n"/>
      <c r="R20" s="3" t="inlineStr">
        <is>
          <t>Strategy &gt; Strategy: Install new structures
Installation &gt; Maximum budget per scenario (USD): 1,000,000
Installation &gt; Minimum budget per scenario (USD): 100,000
Installation &gt; How budgets are drawn: Uniform
Installation &gt; Min depth (m): 10
Installation &gt; Max depth (m): 30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1,019</t>
        </is>
      </c>
      <c r="S20" s="3" t="inlineStr">
        <is>
          <t>A019_INST-Region-Shallow-Large-Disp-Small.json</t>
        </is>
      </c>
      <c r="T20" s="3" t="n">
        <v>100</v>
      </c>
      <c r="U20" s="3" t="n">
        <v>1019</v>
      </c>
      <c r="V20" s="3" t="n">
        <v>330</v>
      </c>
      <c r="W20" s="3" t="n"/>
      <c r="X20" s="3">
        <f>ROUND((T20+1)*'Read me'!$C$14/60,1)</f>
        <v/>
      </c>
      <c r="Y20" s="8" t="n"/>
      <c r="Z20" s="8" t="inlineStr">
        <is>
          <t>Not started</t>
        </is>
      </c>
      <c r="AA20" s="8" t="n"/>
      <c r="AB20" s="8" t="n"/>
      <c r="AC20" s="8" t="n"/>
      <c r="AD20" s="8" t="n"/>
      <c r="AE20" s="8" t="n"/>
      <c r="AF20" s="8" t="n"/>
      <c r="AG20" s="8" t="n"/>
      <c r="AH20" s="8" t="n"/>
      <c r="AI20" s="8" t="n"/>
      <c r="AJ20" s="8">
        <f>IF(OR(AH20="",'Submission &amp; QC'!$C$18=""),"",IF(AND(ABS(AH20-'Submission &amp; QC'!$C$18)&lt;=0.0005*ABS('Submission &amp; QC'!$C$18),ABS(AI20-'Submission &amp; QC'!$C$19)&lt;=0.0005*ABS('Submission &amp; QC'!$C$19)),"Pass","Fail"))</f>
        <v/>
      </c>
      <c r="AK20" s="8" t="n"/>
      <c r="AL20" s="8" t="n"/>
    </row>
    <row r="21" ht="195" customHeight="1">
      <c r="A21" s="3" t="inlineStr">
        <is>
          <t>A020</t>
        </is>
      </c>
      <c r="B21" s="7" t="inlineStr">
        <is>
          <t>A</t>
        </is>
      </c>
      <c r="C21" s="3" t="n">
        <v>2</v>
      </c>
      <c r="D21" s="3" t="inlineStr">
        <is>
          <t>Install</t>
        </is>
      </c>
      <c r="E21" s="3" t="inlineStr">
        <is>
          <t>INST-Region-Shallow-Large-Disp-Medium</t>
        </is>
      </c>
      <c r="F21" s="3" t="inlineStr">
        <is>
          <t>Install large modules, dispersed, shallow (10-30 m), Whole model area, medium budget ($1-5 M)</t>
        </is>
      </c>
      <c r="G21" s="3" t="inlineStr">
        <is>
          <t>Whole model area</t>
        </is>
      </c>
      <c r="H21" s="3" t="inlineStr">
        <is>
          <t>Shallow (10-30 m)</t>
        </is>
      </c>
      <c r="I21" s="3" t="inlineStr">
        <is>
          <t>Large module ($12,000; 20 m2; 6 m tall)</t>
        </is>
      </c>
      <c r="J21" s="3" t="inlineStr">
        <is>
          <t>Dispersed (no connectivity preference)</t>
        </is>
      </c>
      <c r="K21" s="3" t="inlineStr">
        <is>
          <t>Medium: $1-5 M</t>
        </is>
      </c>
      <c r="L21" s="3" t="n"/>
      <c r="M21" s="3" t="n"/>
      <c r="N21" s="3" t="n"/>
      <c r="O21" s="3" t="n"/>
      <c r="P21" s="3" t="n"/>
      <c r="Q21" s="3" t="n"/>
      <c r="R21" s="3" t="inlineStr">
        <is>
          <t>Strategy &gt; Strategy: Install new structures
Installation &gt; Maximum budget per scenario (USD): 5,000,000
Installation &gt; Minimum budget per scenario (USD): 1,000,000
Installation &gt; How budgets are drawn: Uniform
Installation &gt; Min depth (m): 10
Installation &gt; Max depth (m): 30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1,020</t>
        </is>
      </c>
      <c r="S21" s="3" t="inlineStr">
        <is>
          <t>A020_INST-Region-Shallow-Large-Disp-Medium.json</t>
        </is>
      </c>
      <c r="T21" s="3" t="n">
        <v>100</v>
      </c>
      <c r="U21" s="3" t="n">
        <v>1020</v>
      </c>
      <c r="V21" s="3" t="n">
        <v>330</v>
      </c>
      <c r="W21" s="3" t="n"/>
      <c r="X21" s="3">
        <f>ROUND((T21+1)*'Read me'!$C$14/60,1)</f>
        <v/>
      </c>
      <c r="Y21" s="8" t="n"/>
      <c r="Z21" s="8" t="inlineStr">
        <is>
          <t>Not started</t>
        </is>
      </c>
      <c r="AA21" s="8" t="n"/>
      <c r="AB21" s="8" t="n"/>
      <c r="AC21" s="8" t="n"/>
      <c r="AD21" s="8" t="n"/>
      <c r="AE21" s="8" t="n"/>
      <c r="AF21" s="8" t="n"/>
      <c r="AG21" s="8" t="n"/>
      <c r="AH21" s="8" t="n"/>
      <c r="AI21" s="8" t="n"/>
      <c r="AJ21" s="8">
        <f>IF(OR(AH21="",'Submission &amp; QC'!$C$18=""),"",IF(AND(ABS(AH21-'Submission &amp; QC'!$C$18)&lt;=0.0005*ABS('Submission &amp; QC'!$C$18),ABS(AI21-'Submission &amp; QC'!$C$19)&lt;=0.0005*ABS('Submission &amp; QC'!$C$19)),"Pass","Fail"))</f>
        <v/>
      </c>
      <c r="AK21" s="8" t="n"/>
      <c r="AL21" s="8" t="n"/>
    </row>
    <row r="22" ht="195" customHeight="1">
      <c r="A22" s="3" t="inlineStr">
        <is>
          <t>A021</t>
        </is>
      </c>
      <c r="B22" s="7" t="inlineStr">
        <is>
          <t>A</t>
        </is>
      </c>
      <c r="C22" s="3" t="n">
        <v>2</v>
      </c>
      <c r="D22" s="3" t="inlineStr">
        <is>
          <t>Install</t>
        </is>
      </c>
      <c r="E22" s="3" t="inlineStr">
        <is>
          <t>INST-Region-Shallow-Large-Disp-Large</t>
        </is>
      </c>
      <c r="F22" s="3" t="inlineStr">
        <is>
          <t>Install large modules, dispersed, shallow (10-30 m), Whole model area, large budget ($5-15 M)</t>
        </is>
      </c>
      <c r="G22" s="3" t="inlineStr">
        <is>
          <t>Whole model area</t>
        </is>
      </c>
      <c r="H22" s="3" t="inlineStr">
        <is>
          <t>Shallow (10-30 m)</t>
        </is>
      </c>
      <c r="I22" s="3" t="inlineStr">
        <is>
          <t>Large module ($12,000; 20 m2; 6 m tall)</t>
        </is>
      </c>
      <c r="J22" s="3" t="inlineStr">
        <is>
          <t>Dispersed (no connectivity preference)</t>
        </is>
      </c>
      <c r="K22" s="3" t="inlineStr">
        <is>
          <t>Large: $5-15 M</t>
        </is>
      </c>
      <c r="L22" s="3" t="n"/>
      <c r="M22" s="3" t="n"/>
      <c r="N22" s="3" t="n"/>
      <c r="O22" s="3" t="n"/>
      <c r="P22" s="3" t="n"/>
      <c r="Q22" s="3" t="n"/>
      <c r="R22" s="3" t="inlineStr">
        <is>
          <t>Strategy &gt; Strategy: Install new structures
Installation &gt; Maximum budget per scenario (USD): 15,000,000
Installation &gt; Minimum budget per scenario (USD): 5,000,000
Installation &gt; How budgets are drawn: Uniform
Installation &gt; Min depth (m): 10
Installation &gt; Max depth (m): 30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1,021</t>
        </is>
      </c>
      <c r="S22" s="3" t="inlineStr">
        <is>
          <t>A021_INST-Region-Shallow-Large-Disp-Large.json</t>
        </is>
      </c>
      <c r="T22" s="3" t="n">
        <v>100</v>
      </c>
      <c r="U22" s="3" t="n">
        <v>1021</v>
      </c>
      <c r="V22" s="3" t="n">
        <v>330</v>
      </c>
      <c r="W22" s="3" t="n"/>
      <c r="X22" s="3">
        <f>ROUND((T22+1)*'Read me'!$C$14/60,1)</f>
        <v/>
      </c>
      <c r="Y22" s="8" t="n"/>
      <c r="Z22" s="8" t="inlineStr">
        <is>
          <t>Not started</t>
        </is>
      </c>
      <c r="AA22" s="8" t="n"/>
      <c r="AB22" s="8" t="n"/>
      <c r="AC22" s="8" t="n"/>
      <c r="AD22" s="8" t="n"/>
      <c r="AE22" s="8" t="n"/>
      <c r="AF22" s="8" t="n"/>
      <c r="AG22" s="8" t="n"/>
      <c r="AH22" s="8" t="n"/>
      <c r="AI22" s="8" t="n"/>
      <c r="AJ22" s="8">
        <f>IF(OR(AH22="",'Submission &amp; QC'!$C$18=""),"",IF(AND(ABS(AH22-'Submission &amp; QC'!$C$18)&lt;=0.0005*ABS('Submission &amp; QC'!$C$18),ABS(AI22-'Submission &amp; QC'!$C$19)&lt;=0.0005*ABS('Submission &amp; QC'!$C$19)),"Pass","Fail"))</f>
        <v/>
      </c>
      <c r="AK22" s="8" t="n"/>
      <c r="AL22" s="8" t="n"/>
    </row>
    <row r="23" ht="210" customHeight="1">
      <c r="A23" s="3" t="inlineStr">
        <is>
          <t>A022</t>
        </is>
      </c>
      <c r="B23" s="7" t="inlineStr">
        <is>
          <t>A</t>
        </is>
      </c>
      <c r="C23" s="3" t="n">
        <v>2</v>
      </c>
      <c r="D23" s="3" t="inlineStr">
        <is>
          <t>Install</t>
        </is>
      </c>
      <c r="E23" s="3" t="inlineStr">
        <is>
          <t>INST-Region-Shallow-Large-Clust-Small</t>
        </is>
      </c>
      <c r="F23" s="3" t="inlineStr">
        <is>
          <t>Install large modules, clustered, shallow (10-30 m), Whole model area, small budget ($0.1-1 M)</t>
        </is>
      </c>
      <c r="G23" s="3" t="inlineStr">
        <is>
          <t>Whole model area</t>
        </is>
      </c>
      <c r="H23" s="3" t="inlineStr">
        <is>
          <t>Shallow (10-30 m)</t>
        </is>
      </c>
      <c r="I23" s="3" t="inlineStr">
        <is>
          <t>Large module ($12,000; 20 m2; 6 m tall)</t>
        </is>
      </c>
      <c r="J23" s="3" t="inlineStr">
        <is>
          <t>Clustered (favour cells next to existing modules)</t>
        </is>
      </c>
      <c r="K23" s="3" t="inlineStr">
        <is>
          <t>Small: $0.1-1 M</t>
        </is>
      </c>
      <c r="L23" s="3" t="n"/>
      <c r="M23" s="3" t="n"/>
      <c r="N23" s="3" t="n"/>
      <c r="O23" s="3" t="n"/>
      <c r="P23" s="3" t="n"/>
      <c r="Q23" s="3" t="n"/>
      <c r="R23" s="3" t="inlineStr">
        <is>
          <t>Strategy &gt; Strategy: Install new structures
Installation &gt; Maximum budget per scenario (USD): 1,000,000
Installation &gt; Minimum budget per scenario (USD): 100,000
Installation &gt; How budgets are drawn: Uniform
Installation &gt; Min depth (m): 10
Installation &gt; Max depth (m): 30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1,022</t>
        </is>
      </c>
      <c r="S23" s="3" t="inlineStr">
        <is>
          <t>A022_INST-Region-Shallow-Large-Clust-Small.json</t>
        </is>
      </c>
      <c r="T23" s="3" t="n">
        <v>100</v>
      </c>
      <c r="U23" s="3" t="n">
        <v>1022</v>
      </c>
      <c r="V23" s="3" t="n">
        <v>330</v>
      </c>
      <c r="W23" s="3" t="n"/>
      <c r="X23" s="3">
        <f>ROUND((T23+1)*'Read me'!$C$14/60,1)</f>
        <v/>
      </c>
      <c r="Y23" s="8" t="n"/>
      <c r="Z23" s="8" t="inlineStr">
        <is>
          <t>Not started</t>
        </is>
      </c>
      <c r="AA23" s="8" t="n"/>
      <c r="AB23" s="8" t="n"/>
      <c r="AC23" s="8" t="n"/>
      <c r="AD23" s="8" t="n"/>
      <c r="AE23" s="8" t="n"/>
      <c r="AF23" s="8" t="n"/>
      <c r="AG23" s="8" t="n"/>
      <c r="AH23" s="8" t="n"/>
      <c r="AI23" s="8" t="n"/>
      <c r="AJ23" s="8">
        <f>IF(OR(AH23="",'Submission &amp; QC'!$C$18=""),"",IF(AND(ABS(AH23-'Submission &amp; QC'!$C$18)&lt;=0.0005*ABS('Submission &amp; QC'!$C$18),ABS(AI23-'Submission &amp; QC'!$C$19)&lt;=0.0005*ABS('Submission &amp; QC'!$C$19)),"Pass","Fail"))</f>
        <v/>
      </c>
      <c r="AK23" s="8" t="n"/>
      <c r="AL23" s="8" t="n"/>
    </row>
    <row r="24" ht="210" customHeight="1">
      <c r="A24" s="3" t="inlineStr">
        <is>
          <t>A023</t>
        </is>
      </c>
      <c r="B24" s="7" t="inlineStr">
        <is>
          <t>A</t>
        </is>
      </c>
      <c r="C24" s="3" t="n">
        <v>2</v>
      </c>
      <c r="D24" s="3" t="inlineStr">
        <is>
          <t>Install</t>
        </is>
      </c>
      <c r="E24" s="3" t="inlineStr">
        <is>
          <t>INST-Region-Shallow-Large-Clust-Medium</t>
        </is>
      </c>
      <c r="F24" s="3" t="inlineStr">
        <is>
          <t>Install large modules, clustered, shallow (10-30 m), Whole model area, medium budget ($1-5 M)</t>
        </is>
      </c>
      <c r="G24" s="3" t="inlineStr">
        <is>
          <t>Whole model area</t>
        </is>
      </c>
      <c r="H24" s="3" t="inlineStr">
        <is>
          <t>Shallow (10-30 m)</t>
        </is>
      </c>
      <c r="I24" s="3" t="inlineStr">
        <is>
          <t>Large module ($12,000; 20 m2; 6 m tall)</t>
        </is>
      </c>
      <c r="J24" s="3" t="inlineStr">
        <is>
          <t>Clustered (favour cells next to existing modules)</t>
        </is>
      </c>
      <c r="K24" s="3" t="inlineStr">
        <is>
          <t>Medium: $1-5 M</t>
        </is>
      </c>
      <c r="L24" s="3" t="n"/>
      <c r="M24" s="3" t="n"/>
      <c r="N24" s="3" t="n"/>
      <c r="O24" s="3" t="n"/>
      <c r="P24" s="3" t="n"/>
      <c r="Q24" s="3" t="n"/>
      <c r="R24" s="3" t="inlineStr">
        <is>
          <t>Strategy &gt; Strategy: Install new structures
Installation &gt; Maximum budget per scenario (USD): 5,000,000
Installation &gt; Minimum budget per scenario (USD): 1,000,000
Installation &gt; How budgets are drawn: Uniform
Installation &gt; Min depth (m): 10
Installation &gt; Max depth (m): 30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1,023</t>
        </is>
      </c>
      <c r="S24" s="3" t="inlineStr">
        <is>
          <t>A023_INST-Region-Shallow-Large-Clust-Medium.json</t>
        </is>
      </c>
      <c r="T24" s="3" t="n">
        <v>100</v>
      </c>
      <c r="U24" s="3" t="n">
        <v>1023</v>
      </c>
      <c r="V24" s="3" t="n">
        <v>330</v>
      </c>
      <c r="W24" s="3" t="n"/>
      <c r="X24" s="3">
        <f>ROUND((T24+1)*'Read me'!$C$14/60,1)</f>
        <v/>
      </c>
      <c r="Y24" s="8" t="n"/>
      <c r="Z24" s="8" t="inlineStr">
        <is>
          <t>Not started</t>
        </is>
      </c>
      <c r="AA24" s="8" t="n"/>
      <c r="AB24" s="8" t="n"/>
      <c r="AC24" s="8" t="n"/>
      <c r="AD24" s="8" t="n"/>
      <c r="AE24" s="8" t="n"/>
      <c r="AF24" s="8" t="n"/>
      <c r="AG24" s="8" t="n"/>
      <c r="AH24" s="8" t="n"/>
      <c r="AI24" s="8" t="n"/>
      <c r="AJ24" s="8">
        <f>IF(OR(AH24="",'Submission &amp; QC'!$C$18=""),"",IF(AND(ABS(AH24-'Submission &amp; QC'!$C$18)&lt;=0.0005*ABS('Submission &amp; QC'!$C$18),ABS(AI24-'Submission &amp; QC'!$C$19)&lt;=0.0005*ABS('Submission &amp; QC'!$C$19)),"Pass","Fail"))</f>
        <v/>
      </c>
      <c r="AK24" s="8" t="n"/>
      <c r="AL24" s="8" t="n"/>
    </row>
    <row r="25" ht="210" customHeight="1">
      <c r="A25" s="3" t="inlineStr">
        <is>
          <t>A024</t>
        </is>
      </c>
      <c r="B25" s="7" t="inlineStr">
        <is>
          <t>A</t>
        </is>
      </c>
      <c r="C25" s="3" t="n">
        <v>2</v>
      </c>
      <c r="D25" s="3" t="inlineStr">
        <is>
          <t>Install</t>
        </is>
      </c>
      <c r="E25" s="3" t="inlineStr">
        <is>
          <t>INST-Region-Shallow-Large-Clust-Large</t>
        </is>
      </c>
      <c r="F25" s="3" t="inlineStr">
        <is>
          <t>Install large modules, clustered, shallow (10-30 m), Whole model area, large budget ($5-15 M)</t>
        </is>
      </c>
      <c r="G25" s="3" t="inlineStr">
        <is>
          <t>Whole model area</t>
        </is>
      </c>
      <c r="H25" s="3" t="inlineStr">
        <is>
          <t>Shallow (10-30 m)</t>
        </is>
      </c>
      <c r="I25" s="3" t="inlineStr">
        <is>
          <t>Large module ($12,000; 20 m2; 6 m tall)</t>
        </is>
      </c>
      <c r="J25" s="3" t="inlineStr">
        <is>
          <t>Clustered (favour cells next to existing modules)</t>
        </is>
      </c>
      <c r="K25" s="3" t="inlineStr">
        <is>
          <t>Large: $5-15 M</t>
        </is>
      </c>
      <c r="L25" s="3" t="n"/>
      <c r="M25" s="3" t="n"/>
      <c r="N25" s="3" t="n"/>
      <c r="O25" s="3" t="n"/>
      <c r="P25" s="3" t="n"/>
      <c r="Q25" s="3" t="n"/>
      <c r="R25" s="3" t="inlineStr">
        <is>
          <t>Strategy &gt; Strategy: Install new structures
Installation &gt; Maximum budget per scenario (USD): 15,000,000
Installation &gt; Minimum budget per scenario (USD): 5,000,000
Installation &gt; How budgets are drawn: Uniform
Installation &gt; Min depth (m): 10
Installation &gt; Max depth (m): 30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1,024</t>
        </is>
      </c>
      <c r="S25" s="3" t="inlineStr">
        <is>
          <t>A024_INST-Region-Shallow-Large-Clust-Large.json</t>
        </is>
      </c>
      <c r="T25" s="3" t="n">
        <v>100</v>
      </c>
      <c r="U25" s="3" t="n">
        <v>1024</v>
      </c>
      <c r="V25" s="3" t="n">
        <v>330</v>
      </c>
      <c r="W25" s="3" t="n"/>
      <c r="X25" s="3">
        <f>ROUND((T25+1)*'Read me'!$C$14/60,1)</f>
        <v/>
      </c>
      <c r="Y25" s="8" t="n"/>
      <c r="Z25" s="8" t="inlineStr">
        <is>
          <t>Not started</t>
        </is>
      </c>
      <c r="AA25" s="8" t="n"/>
      <c r="AB25" s="8" t="n"/>
      <c r="AC25" s="8" t="n"/>
      <c r="AD25" s="8" t="n"/>
      <c r="AE25" s="8" t="n"/>
      <c r="AF25" s="8" t="n"/>
      <c r="AG25" s="8" t="n"/>
      <c r="AH25" s="8" t="n"/>
      <c r="AI25" s="8" t="n"/>
      <c r="AJ25" s="8">
        <f>IF(OR(AH25="",'Submission &amp; QC'!$C$18=""),"",IF(AND(ABS(AH25-'Submission &amp; QC'!$C$18)&lt;=0.0005*ABS('Submission &amp; QC'!$C$18),ABS(AI25-'Submission &amp; QC'!$C$19)&lt;=0.0005*ABS('Submission &amp; QC'!$C$19)),"Pass","Fail"))</f>
        <v/>
      </c>
      <c r="AK25" s="8" t="n"/>
      <c r="AL25" s="8" t="n"/>
    </row>
    <row r="26" ht="150" customHeight="1">
      <c r="A26" s="3" t="inlineStr">
        <is>
          <t>A025</t>
        </is>
      </c>
      <c r="B26" s="7" t="inlineStr">
        <is>
          <t>A</t>
        </is>
      </c>
      <c r="C26" s="3" t="n">
        <v>1</v>
      </c>
      <c r="D26" s="3" t="inlineStr">
        <is>
          <t>Install</t>
        </is>
      </c>
      <c r="E26" s="3" t="inlineStr">
        <is>
          <t>INST-Region-Mid-Std-Disp-Small</t>
        </is>
      </c>
      <c r="F26" s="3" t="inlineStr">
        <is>
          <t>Install standard prefab modules, dispersed, mid-shelf (30-60 m), Whole model area, small budget ($0.1-1 M)</t>
        </is>
      </c>
      <c r="G26" s="3" t="inlineStr">
        <is>
          <t>Whole model area</t>
        </is>
      </c>
      <c r="H26" s="3" t="inlineStr">
        <is>
          <t>Mid-shelf (30-60 m)</t>
        </is>
      </c>
      <c r="I26" s="3" t="inlineStr">
        <is>
          <t>Standard prefab module ($2,500; 6 m2; 3 m tall)</t>
        </is>
      </c>
      <c r="J26" s="3" t="inlineStr">
        <is>
          <t>Dispersed (no connectivity preference)</t>
        </is>
      </c>
      <c r="K26" s="3" t="inlineStr">
        <is>
          <t>Small: $0.1-1 M</t>
        </is>
      </c>
      <c r="L26" s="3" t="n"/>
      <c r="M26" s="3" t="n"/>
      <c r="N26" s="3" t="n"/>
      <c r="O26" s="3" t="n"/>
      <c r="P26" s="3" t="n"/>
      <c r="Q26" s="3" t="n"/>
      <c r="R26" s="3" t="inlineStr">
        <is>
          <t>Strategy &gt; Strategy: Install new structures
Installation &gt; Maximum budget per scenario (USD): 1,000,000
Installation &gt; Minimum budget per scenario (USD): 100,000
Installation &gt; How budgets are drawn: Uniform
Installation &gt; Min depth (m): 30
Installation &gt; Max depth (m): 60
Installation &gt; Favour cells next to existing modules: unticked
Live solver / Search &gt; Number of scenarios to run: 100
Search &gt; Search algorithm: Random search
Search &gt; Random seed: 1,025</t>
        </is>
      </c>
      <c r="S26" s="3" t="inlineStr">
        <is>
          <t>A025_INST-Region-Mid-Std-Disp-Small.json</t>
        </is>
      </c>
      <c r="T26" s="3" t="n">
        <v>100</v>
      </c>
      <c r="U26" s="3" t="n">
        <v>1025</v>
      </c>
      <c r="V26" s="3" t="n">
        <v>489</v>
      </c>
      <c r="W26" s="3" t="n"/>
      <c r="X26" s="3">
        <f>ROUND((T26+1)*'Read me'!$C$14/60,1)</f>
        <v/>
      </c>
      <c r="Y26" s="8" t="n"/>
      <c r="Z26" s="8" t="inlineStr">
        <is>
          <t>Not started</t>
        </is>
      </c>
      <c r="AA26" s="8" t="n"/>
      <c r="AB26" s="8" t="n"/>
      <c r="AC26" s="8" t="n"/>
      <c r="AD26" s="8" t="n"/>
      <c r="AE26" s="8" t="n"/>
      <c r="AF26" s="8" t="n"/>
      <c r="AG26" s="8" t="n"/>
      <c r="AH26" s="8" t="n"/>
      <c r="AI26" s="8" t="n"/>
      <c r="AJ26" s="8">
        <f>IF(OR(AH26="",'Submission &amp; QC'!$C$18=""),"",IF(AND(ABS(AH26-'Submission &amp; QC'!$C$18)&lt;=0.0005*ABS('Submission &amp; QC'!$C$18),ABS(AI26-'Submission &amp; QC'!$C$19)&lt;=0.0005*ABS('Submission &amp; QC'!$C$19)),"Pass","Fail"))</f>
        <v/>
      </c>
      <c r="AK26" s="8" t="n"/>
      <c r="AL26" s="8" t="n"/>
    </row>
    <row r="27" ht="150" customHeight="1">
      <c r="A27" s="3" t="inlineStr">
        <is>
          <t>A026</t>
        </is>
      </c>
      <c r="B27" s="7" t="inlineStr">
        <is>
          <t>A</t>
        </is>
      </c>
      <c r="C27" s="3" t="n">
        <v>1</v>
      </c>
      <c r="D27" s="3" t="inlineStr">
        <is>
          <t>Install</t>
        </is>
      </c>
      <c r="E27" s="3" t="inlineStr">
        <is>
          <t>INST-Region-Mid-Std-Disp-Medium</t>
        </is>
      </c>
      <c r="F27" s="3" t="inlineStr">
        <is>
          <t>Install standard prefab modules, dispersed, mid-shelf (30-60 m), Whole model area, medium budget ($1-5 M)</t>
        </is>
      </c>
      <c r="G27" s="3" t="inlineStr">
        <is>
          <t>Whole model area</t>
        </is>
      </c>
      <c r="H27" s="3" t="inlineStr">
        <is>
          <t>Mid-shelf (30-60 m)</t>
        </is>
      </c>
      <c r="I27" s="3" t="inlineStr">
        <is>
          <t>Standard prefab module ($2,500; 6 m2; 3 m tall)</t>
        </is>
      </c>
      <c r="J27" s="3" t="inlineStr">
        <is>
          <t>Dispersed (no connectivity preference)</t>
        </is>
      </c>
      <c r="K27" s="3" t="inlineStr">
        <is>
          <t>Medium: $1-5 M</t>
        </is>
      </c>
      <c r="L27" s="3" t="n"/>
      <c r="M27" s="3" t="n"/>
      <c r="N27" s="3" t="n"/>
      <c r="O27" s="3" t="n"/>
      <c r="P27" s="3" t="n"/>
      <c r="Q27" s="3" t="n"/>
      <c r="R27" s="3" t="inlineStr">
        <is>
          <t>Strategy &gt; Strategy: Install new structures
Installation &gt; Maximum budget per scenario (USD): 5,000,000
Installation &gt; Minimum budget per scenario (USD): 1,000,000
Installation &gt; How budgets are drawn: Uniform
Installation &gt; Min depth (m): 30
Installation &gt; Max depth (m): 60
Installation &gt; Favour cells next to existing modules: unticked
Live solver / Search &gt; Number of scenarios to run: 100
Search &gt; Search algorithm: Random search
Search &gt; Random seed: 1,026</t>
        </is>
      </c>
      <c r="S27" s="3" t="inlineStr">
        <is>
          <t>A026_INST-Region-Mid-Std-Disp-Medium.json</t>
        </is>
      </c>
      <c r="T27" s="3" t="n">
        <v>100</v>
      </c>
      <c r="U27" s="3" t="n">
        <v>1026</v>
      </c>
      <c r="V27" s="3" t="n">
        <v>489</v>
      </c>
      <c r="W27" s="3" t="n"/>
      <c r="X27" s="3">
        <f>ROUND((T27+1)*'Read me'!$C$14/60,1)</f>
        <v/>
      </c>
      <c r="Y27" s="8" t="n"/>
      <c r="Z27" s="8" t="inlineStr">
        <is>
          <t>Not started</t>
        </is>
      </c>
      <c r="AA27" s="8" t="n"/>
      <c r="AB27" s="8" t="n"/>
      <c r="AC27" s="8" t="n"/>
      <c r="AD27" s="8" t="n"/>
      <c r="AE27" s="8" t="n"/>
      <c r="AF27" s="8" t="n"/>
      <c r="AG27" s="8" t="n"/>
      <c r="AH27" s="8" t="n"/>
      <c r="AI27" s="8" t="n"/>
      <c r="AJ27" s="8">
        <f>IF(OR(AH27="",'Submission &amp; QC'!$C$18=""),"",IF(AND(ABS(AH27-'Submission &amp; QC'!$C$18)&lt;=0.0005*ABS('Submission &amp; QC'!$C$18),ABS(AI27-'Submission &amp; QC'!$C$19)&lt;=0.0005*ABS('Submission &amp; QC'!$C$19)),"Pass","Fail"))</f>
        <v/>
      </c>
      <c r="AK27" s="8" t="n"/>
      <c r="AL27" s="8" t="n"/>
    </row>
    <row r="28" ht="150" customHeight="1">
      <c r="A28" s="3" t="inlineStr">
        <is>
          <t>A027</t>
        </is>
      </c>
      <c r="B28" s="7" t="inlineStr">
        <is>
          <t>A</t>
        </is>
      </c>
      <c r="C28" s="3" t="n">
        <v>1</v>
      </c>
      <c r="D28" s="3" t="inlineStr">
        <is>
          <t>Install</t>
        </is>
      </c>
      <c r="E28" s="3" t="inlineStr">
        <is>
          <t>INST-Region-Mid-Std-Disp-Large</t>
        </is>
      </c>
      <c r="F28" s="3" t="inlineStr">
        <is>
          <t>Install standard prefab modules, dispersed, mid-shelf (30-60 m), Whole model area, large budget ($5-15 M)</t>
        </is>
      </c>
      <c r="G28" s="3" t="inlineStr">
        <is>
          <t>Whole model area</t>
        </is>
      </c>
      <c r="H28" s="3" t="inlineStr">
        <is>
          <t>Mid-shelf (30-60 m)</t>
        </is>
      </c>
      <c r="I28" s="3" t="inlineStr">
        <is>
          <t>Standard prefab module ($2,500; 6 m2; 3 m tall)</t>
        </is>
      </c>
      <c r="J28" s="3" t="inlineStr">
        <is>
          <t>Dispersed (no connectivity preference)</t>
        </is>
      </c>
      <c r="K28" s="3" t="inlineStr">
        <is>
          <t>Large: $5-15 M</t>
        </is>
      </c>
      <c r="L28" s="3" t="n"/>
      <c r="M28" s="3" t="n"/>
      <c r="N28" s="3" t="n"/>
      <c r="O28" s="3" t="n"/>
      <c r="P28" s="3" t="n"/>
      <c r="Q28" s="3" t="n"/>
      <c r="R28" s="3" t="inlineStr">
        <is>
          <t>Strategy &gt; Strategy: Install new structures
Installation &gt; Maximum budget per scenario (USD): 15,000,000
Installation &gt; Minimum budget per scenario (USD): 5,000,000
Installation &gt; How budgets are drawn: Uniform
Installation &gt; Min depth (m): 30
Installation &gt; Max depth (m): 60
Installation &gt; Favour cells next to existing modules: unticked
Live solver / Search &gt; Number of scenarios to run: 100
Search &gt; Search algorithm: Random search
Search &gt; Random seed: 1,027</t>
        </is>
      </c>
      <c r="S28" s="3" t="inlineStr">
        <is>
          <t>A027_INST-Region-Mid-Std-Disp-Large.json</t>
        </is>
      </c>
      <c r="T28" s="3" t="n">
        <v>100</v>
      </c>
      <c r="U28" s="3" t="n">
        <v>1027</v>
      </c>
      <c r="V28" s="3" t="n">
        <v>489</v>
      </c>
      <c r="W28" s="3" t="n"/>
      <c r="X28" s="3">
        <f>ROUND((T28+1)*'Read me'!$C$14/60,1)</f>
        <v/>
      </c>
      <c r="Y28" s="8" t="n"/>
      <c r="Z28" s="8" t="inlineStr">
        <is>
          <t>Not started</t>
        </is>
      </c>
      <c r="AA28" s="8" t="n"/>
      <c r="AB28" s="8" t="n"/>
      <c r="AC28" s="8" t="n"/>
      <c r="AD28" s="8" t="n"/>
      <c r="AE28" s="8" t="n"/>
      <c r="AF28" s="8" t="n"/>
      <c r="AG28" s="8" t="n"/>
      <c r="AH28" s="8" t="n"/>
      <c r="AI28" s="8" t="n"/>
      <c r="AJ28" s="8">
        <f>IF(OR(AH28="",'Submission &amp; QC'!$C$18=""),"",IF(AND(ABS(AH28-'Submission &amp; QC'!$C$18)&lt;=0.0005*ABS('Submission &amp; QC'!$C$18),ABS(AI28-'Submission &amp; QC'!$C$19)&lt;=0.0005*ABS('Submission &amp; QC'!$C$19)),"Pass","Fail"))</f>
        <v/>
      </c>
      <c r="AK28" s="8" t="n"/>
      <c r="AL28" s="8" t="n"/>
    </row>
    <row r="29" ht="165" customHeight="1">
      <c r="A29" s="3" t="inlineStr">
        <is>
          <t>A028</t>
        </is>
      </c>
      <c r="B29" s="7" t="inlineStr">
        <is>
          <t>A</t>
        </is>
      </c>
      <c r="C29" s="3" t="n">
        <v>1</v>
      </c>
      <c r="D29" s="3" t="inlineStr">
        <is>
          <t>Install</t>
        </is>
      </c>
      <c r="E29" s="3" t="inlineStr">
        <is>
          <t>INST-Region-Mid-Std-Clust-Small</t>
        </is>
      </c>
      <c r="F29" s="3" t="inlineStr">
        <is>
          <t>Install standard prefab modules, clustered, mid-shelf (30-60 m), Whole model area, small budget ($0.1-1 M)</t>
        </is>
      </c>
      <c r="G29" s="3" t="inlineStr">
        <is>
          <t>Whole model area</t>
        </is>
      </c>
      <c r="H29" s="3" t="inlineStr">
        <is>
          <t>Mid-shelf (30-60 m)</t>
        </is>
      </c>
      <c r="I29" s="3" t="inlineStr">
        <is>
          <t>Standard prefab module ($2,500; 6 m2; 3 m tall)</t>
        </is>
      </c>
      <c r="J29" s="3" t="inlineStr">
        <is>
          <t>Clustered (favour cells next to existing modules)</t>
        </is>
      </c>
      <c r="K29" s="3" t="inlineStr">
        <is>
          <t>Small: $0.1-1 M</t>
        </is>
      </c>
      <c r="L29" s="3" t="n"/>
      <c r="M29" s="3" t="n"/>
      <c r="N29" s="3" t="n"/>
      <c r="O29" s="3" t="n"/>
      <c r="P29" s="3" t="n"/>
      <c r="Q29" s="3" t="n"/>
      <c r="R29" s="3" t="inlineStr">
        <is>
          <t>Strategy &gt; Strategy: Install new structures
Installation &gt; Maximum budget per scenario (USD): 1,000,000
Installation &gt; Minimum budget per scenario (USD): 100,000
Installation &gt; How budgets are drawn: Uniform
Installation &gt; Min depth (m): 30
Installation &gt; Max depth (m): 60
Installation &gt; Favour cells next to existing modules: ticked
Installation &gt; Connectivity bonus: 10
Live solver / Search &gt; Number of scenarios to run: 100
Search &gt; Search algorithm: Random search
Search &gt; Random seed: 1,028</t>
        </is>
      </c>
      <c r="S29" s="3" t="inlineStr">
        <is>
          <t>A028_INST-Region-Mid-Std-Clust-Small.json</t>
        </is>
      </c>
      <c r="T29" s="3" t="n">
        <v>100</v>
      </c>
      <c r="U29" s="3" t="n">
        <v>1028</v>
      </c>
      <c r="V29" s="3" t="n">
        <v>489</v>
      </c>
      <c r="W29" s="3" t="n"/>
      <c r="X29" s="3">
        <f>ROUND((T29+1)*'Read me'!$C$14/60,1)</f>
        <v/>
      </c>
      <c r="Y29" s="8" t="n"/>
      <c r="Z29" s="8" t="inlineStr">
        <is>
          <t>Not started</t>
        </is>
      </c>
      <c r="AA29" s="8" t="n"/>
      <c r="AB29" s="8" t="n"/>
      <c r="AC29" s="8" t="n"/>
      <c r="AD29" s="8" t="n"/>
      <c r="AE29" s="8" t="n"/>
      <c r="AF29" s="8" t="n"/>
      <c r="AG29" s="8" t="n"/>
      <c r="AH29" s="8" t="n"/>
      <c r="AI29" s="8" t="n"/>
      <c r="AJ29" s="8">
        <f>IF(OR(AH29="",'Submission &amp; QC'!$C$18=""),"",IF(AND(ABS(AH29-'Submission &amp; QC'!$C$18)&lt;=0.0005*ABS('Submission &amp; QC'!$C$18),ABS(AI29-'Submission &amp; QC'!$C$19)&lt;=0.0005*ABS('Submission &amp; QC'!$C$19)),"Pass","Fail"))</f>
        <v/>
      </c>
      <c r="AK29" s="8" t="n"/>
      <c r="AL29" s="8" t="n"/>
    </row>
    <row r="30" ht="165" customHeight="1">
      <c r="A30" s="3" t="inlineStr">
        <is>
          <t>A029</t>
        </is>
      </c>
      <c r="B30" s="7" t="inlineStr">
        <is>
          <t>A</t>
        </is>
      </c>
      <c r="C30" s="3" t="n">
        <v>1</v>
      </c>
      <c r="D30" s="3" t="inlineStr">
        <is>
          <t>Install</t>
        </is>
      </c>
      <c r="E30" s="3" t="inlineStr">
        <is>
          <t>INST-Region-Mid-Std-Clust-Medium</t>
        </is>
      </c>
      <c r="F30" s="3" t="inlineStr">
        <is>
          <t>Install standard prefab modules, clustered, mid-shelf (30-60 m), Whole model area, medium budget ($1-5 M)</t>
        </is>
      </c>
      <c r="G30" s="3" t="inlineStr">
        <is>
          <t>Whole model area</t>
        </is>
      </c>
      <c r="H30" s="3" t="inlineStr">
        <is>
          <t>Mid-shelf (30-60 m)</t>
        </is>
      </c>
      <c r="I30" s="3" t="inlineStr">
        <is>
          <t>Standard prefab module ($2,500; 6 m2; 3 m tall)</t>
        </is>
      </c>
      <c r="J30" s="3" t="inlineStr">
        <is>
          <t>Clustered (favour cells next to existing modules)</t>
        </is>
      </c>
      <c r="K30" s="3" t="inlineStr">
        <is>
          <t>Medium: $1-5 M</t>
        </is>
      </c>
      <c r="L30" s="3" t="n"/>
      <c r="M30" s="3" t="n"/>
      <c r="N30" s="3" t="n"/>
      <c r="O30" s="3" t="n"/>
      <c r="P30" s="3" t="n"/>
      <c r="Q30" s="3" t="n"/>
      <c r="R30" s="3" t="inlineStr">
        <is>
          <t>Strategy &gt; Strategy: Install new structures
Installation &gt; Maximum budget per scenario (USD): 5,000,000
Installation &gt; Minimum budget per scenario (USD): 1,000,000
Installation &gt; How budgets are drawn: Uniform
Installation &gt; Min depth (m): 30
Installation &gt; Max depth (m): 60
Installation &gt; Favour cells next to existing modules: ticked
Installation &gt; Connectivity bonus: 10
Live solver / Search &gt; Number of scenarios to run: 100
Search &gt; Search algorithm: Random search
Search &gt; Random seed: 1,029</t>
        </is>
      </c>
      <c r="S30" s="3" t="inlineStr">
        <is>
          <t>A029_INST-Region-Mid-Std-Clust-Medium.json</t>
        </is>
      </c>
      <c r="T30" s="3" t="n">
        <v>100</v>
      </c>
      <c r="U30" s="3" t="n">
        <v>1029</v>
      </c>
      <c r="V30" s="3" t="n">
        <v>489</v>
      </c>
      <c r="W30" s="3" t="n"/>
      <c r="X30" s="3">
        <f>ROUND((T30+1)*'Read me'!$C$14/60,1)</f>
        <v/>
      </c>
      <c r="Y30" s="8" t="n"/>
      <c r="Z30" s="8" t="inlineStr">
        <is>
          <t>Not started</t>
        </is>
      </c>
      <c r="AA30" s="8" t="n"/>
      <c r="AB30" s="8" t="n"/>
      <c r="AC30" s="8" t="n"/>
      <c r="AD30" s="8" t="n"/>
      <c r="AE30" s="8" t="n"/>
      <c r="AF30" s="8" t="n"/>
      <c r="AG30" s="8" t="n"/>
      <c r="AH30" s="8" t="n"/>
      <c r="AI30" s="8" t="n"/>
      <c r="AJ30" s="8">
        <f>IF(OR(AH30="",'Submission &amp; QC'!$C$18=""),"",IF(AND(ABS(AH30-'Submission &amp; QC'!$C$18)&lt;=0.0005*ABS('Submission &amp; QC'!$C$18),ABS(AI30-'Submission &amp; QC'!$C$19)&lt;=0.0005*ABS('Submission &amp; QC'!$C$19)),"Pass","Fail"))</f>
        <v/>
      </c>
      <c r="AK30" s="8" t="n"/>
      <c r="AL30" s="8" t="n"/>
    </row>
    <row r="31" ht="165" customHeight="1">
      <c r="A31" s="3" t="inlineStr">
        <is>
          <t>A030</t>
        </is>
      </c>
      <c r="B31" s="7" t="inlineStr">
        <is>
          <t>A</t>
        </is>
      </c>
      <c r="C31" s="3" t="n">
        <v>1</v>
      </c>
      <c r="D31" s="3" t="inlineStr">
        <is>
          <t>Install</t>
        </is>
      </c>
      <c r="E31" s="3" t="inlineStr">
        <is>
          <t>INST-Region-Mid-Std-Clust-Large</t>
        </is>
      </c>
      <c r="F31" s="3" t="inlineStr">
        <is>
          <t>Install standard prefab modules, clustered, mid-shelf (30-60 m), Whole model area, large budget ($5-15 M)</t>
        </is>
      </c>
      <c r="G31" s="3" t="inlineStr">
        <is>
          <t>Whole model area</t>
        </is>
      </c>
      <c r="H31" s="3" t="inlineStr">
        <is>
          <t>Mid-shelf (30-60 m)</t>
        </is>
      </c>
      <c r="I31" s="3" t="inlineStr">
        <is>
          <t>Standard prefab module ($2,500; 6 m2; 3 m tall)</t>
        </is>
      </c>
      <c r="J31" s="3" t="inlineStr">
        <is>
          <t>Clustered (favour cells next to existing modules)</t>
        </is>
      </c>
      <c r="K31" s="3" t="inlineStr">
        <is>
          <t>Large: $5-15 M</t>
        </is>
      </c>
      <c r="L31" s="3" t="n"/>
      <c r="M31" s="3" t="n"/>
      <c r="N31" s="3" t="n"/>
      <c r="O31" s="3" t="n"/>
      <c r="P31" s="3" t="n"/>
      <c r="Q31" s="3" t="n"/>
      <c r="R31" s="3" t="inlineStr">
        <is>
          <t>Strategy &gt; Strategy: Install new structures
Installation &gt; Maximum budget per scenario (USD): 15,000,000
Installation &gt; Minimum budget per scenario (USD): 5,000,000
Installation &gt; How budgets are drawn: Uniform
Installation &gt; Min depth (m): 30
Installation &gt; Max depth (m): 60
Installation &gt; Favour cells next to existing modules: ticked
Installation &gt; Connectivity bonus: 10
Live solver / Search &gt; Number of scenarios to run: 100
Search &gt; Search algorithm: Random search
Search &gt; Random seed: 1,030</t>
        </is>
      </c>
      <c r="S31" s="3" t="inlineStr">
        <is>
          <t>A030_INST-Region-Mid-Std-Clust-Large.json</t>
        </is>
      </c>
      <c r="T31" s="3" t="n">
        <v>100</v>
      </c>
      <c r="U31" s="3" t="n">
        <v>1030</v>
      </c>
      <c r="V31" s="3" t="n">
        <v>489</v>
      </c>
      <c r="W31" s="3" t="n"/>
      <c r="X31" s="3">
        <f>ROUND((T31+1)*'Read me'!$C$14/60,1)</f>
        <v/>
      </c>
      <c r="Y31" s="8" t="n"/>
      <c r="Z31" s="8" t="inlineStr">
        <is>
          <t>Not started</t>
        </is>
      </c>
      <c r="AA31" s="8" t="n"/>
      <c r="AB31" s="8" t="n"/>
      <c r="AC31" s="8" t="n"/>
      <c r="AD31" s="8" t="n"/>
      <c r="AE31" s="8" t="n"/>
      <c r="AF31" s="8" t="n"/>
      <c r="AG31" s="8" t="n"/>
      <c r="AH31" s="8" t="n"/>
      <c r="AI31" s="8" t="n"/>
      <c r="AJ31" s="8">
        <f>IF(OR(AH31="",'Submission &amp; QC'!$C$18=""),"",IF(AND(ABS(AH31-'Submission &amp; QC'!$C$18)&lt;=0.0005*ABS('Submission &amp; QC'!$C$18),ABS(AI31-'Submission &amp; QC'!$C$19)&lt;=0.0005*ABS('Submission &amp; QC'!$C$19)),"Pass","Fail"))</f>
        <v/>
      </c>
      <c r="AK31" s="8" t="n"/>
      <c r="AL31" s="8" t="n"/>
    </row>
    <row r="32" ht="195" customHeight="1">
      <c r="A32" s="3" t="inlineStr">
        <is>
          <t>A031</t>
        </is>
      </c>
      <c r="B32" s="7" t="inlineStr">
        <is>
          <t>A</t>
        </is>
      </c>
      <c r="C32" s="3" t="n">
        <v>2</v>
      </c>
      <c r="D32" s="3" t="inlineStr">
        <is>
          <t>Install</t>
        </is>
      </c>
      <c r="E32" s="3" t="inlineStr">
        <is>
          <t>INST-Region-Mid-Large-Disp-Small</t>
        </is>
      </c>
      <c r="F32" s="3" t="inlineStr">
        <is>
          <t>Install large modules, dispersed, mid-shelf (30-60 m), Whole model area, small budget ($0.1-1 M)</t>
        </is>
      </c>
      <c r="G32" s="3" t="inlineStr">
        <is>
          <t>Whole model area</t>
        </is>
      </c>
      <c r="H32" s="3" t="inlineStr">
        <is>
          <t>Mid-shelf (30-60 m)</t>
        </is>
      </c>
      <c r="I32" s="3" t="inlineStr">
        <is>
          <t>Large module ($12,000; 20 m2; 6 m tall)</t>
        </is>
      </c>
      <c r="J32" s="3" t="inlineStr">
        <is>
          <t>Dispersed (no connectivity preference)</t>
        </is>
      </c>
      <c r="K32" s="3" t="inlineStr">
        <is>
          <t>Small: $0.1-1 M</t>
        </is>
      </c>
      <c r="L32" s="3" t="n"/>
      <c r="M32" s="3" t="n"/>
      <c r="N32" s="3" t="n"/>
      <c r="O32" s="3" t="n"/>
      <c r="P32" s="3" t="n"/>
      <c r="Q32" s="3" t="n"/>
      <c r="R32" s="3" t="inlineStr">
        <is>
          <t>Strategy &gt; Strategy: Install new structures
Installation &gt; Maximum budget per scenario (USD): 1,000,000
Installation &gt; Minimum budget per scenario (USD): 100,000
Installation &gt; How budgets are drawn: Uniform
Installation &gt; Min depth (m): 30
Installation &gt; Max depth (m): 60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1,031</t>
        </is>
      </c>
      <c r="S32" s="3" t="inlineStr">
        <is>
          <t>A031_INST-Region-Mid-Large-Disp-Small.json</t>
        </is>
      </c>
      <c r="T32" s="3" t="n">
        <v>100</v>
      </c>
      <c r="U32" s="3" t="n">
        <v>1031</v>
      </c>
      <c r="V32" s="3" t="n">
        <v>489</v>
      </c>
      <c r="W32" s="3" t="n"/>
      <c r="X32" s="3">
        <f>ROUND((T32+1)*'Read me'!$C$14/60,1)</f>
        <v/>
      </c>
      <c r="Y32" s="8" t="n"/>
      <c r="Z32" s="8" t="inlineStr">
        <is>
          <t>Not started</t>
        </is>
      </c>
      <c r="AA32" s="8" t="n"/>
      <c r="AB32" s="8" t="n"/>
      <c r="AC32" s="8" t="n"/>
      <c r="AD32" s="8" t="n"/>
      <c r="AE32" s="8" t="n"/>
      <c r="AF32" s="8" t="n"/>
      <c r="AG32" s="8" t="n"/>
      <c r="AH32" s="8" t="n"/>
      <c r="AI32" s="8" t="n"/>
      <c r="AJ32" s="8">
        <f>IF(OR(AH32="",'Submission &amp; QC'!$C$18=""),"",IF(AND(ABS(AH32-'Submission &amp; QC'!$C$18)&lt;=0.0005*ABS('Submission &amp; QC'!$C$18),ABS(AI32-'Submission &amp; QC'!$C$19)&lt;=0.0005*ABS('Submission &amp; QC'!$C$19)),"Pass","Fail"))</f>
        <v/>
      </c>
      <c r="AK32" s="8" t="n"/>
      <c r="AL32" s="8" t="n"/>
    </row>
    <row r="33" ht="195" customHeight="1">
      <c r="A33" s="3" t="inlineStr">
        <is>
          <t>A032</t>
        </is>
      </c>
      <c r="B33" s="7" t="inlineStr">
        <is>
          <t>A</t>
        </is>
      </c>
      <c r="C33" s="3" t="n">
        <v>2</v>
      </c>
      <c r="D33" s="3" t="inlineStr">
        <is>
          <t>Install</t>
        </is>
      </c>
      <c r="E33" s="3" t="inlineStr">
        <is>
          <t>INST-Region-Mid-Large-Disp-Medium</t>
        </is>
      </c>
      <c r="F33" s="3" t="inlineStr">
        <is>
          <t>Install large modules, dispersed, mid-shelf (30-60 m), Whole model area, medium budget ($1-5 M)</t>
        </is>
      </c>
      <c r="G33" s="3" t="inlineStr">
        <is>
          <t>Whole model area</t>
        </is>
      </c>
      <c r="H33" s="3" t="inlineStr">
        <is>
          <t>Mid-shelf (30-60 m)</t>
        </is>
      </c>
      <c r="I33" s="3" t="inlineStr">
        <is>
          <t>Large module ($12,000; 20 m2; 6 m tall)</t>
        </is>
      </c>
      <c r="J33" s="3" t="inlineStr">
        <is>
          <t>Dispersed (no connectivity preference)</t>
        </is>
      </c>
      <c r="K33" s="3" t="inlineStr">
        <is>
          <t>Medium: $1-5 M</t>
        </is>
      </c>
      <c r="L33" s="3" t="n"/>
      <c r="M33" s="3" t="n"/>
      <c r="N33" s="3" t="n"/>
      <c r="O33" s="3" t="n"/>
      <c r="P33" s="3" t="n"/>
      <c r="Q33" s="3" t="n"/>
      <c r="R33" s="3" t="inlineStr">
        <is>
          <t>Strategy &gt; Strategy: Install new structures
Installation &gt; Maximum budget per scenario (USD): 5,000,000
Installation &gt; Minimum budget per scenario (USD): 1,000,000
Installation &gt; How budgets are drawn: Uniform
Installation &gt; Min depth (m): 30
Installation &gt; Max depth (m): 60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1,032</t>
        </is>
      </c>
      <c r="S33" s="3" t="inlineStr">
        <is>
          <t>A032_INST-Region-Mid-Large-Disp-Medium.json</t>
        </is>
      </c>
      <c r="T33" s="3" t="n">
        <v>100</v>
      </c>
      <c r="U33" s="3" t="n">
        <v>1032</v>
      </c>
      <c r="V33" s="3" t="n">
        <v>489</v>
      </c>
      <c r="W33" s="3" t="n"/>
      <c r="X33" s="3">
        <f>ROUND((T33+1)*'Read me'!$C$14/60,1)</f>
        <v/>
      </c>
      <c r="Y33" s="8" t="n"/>
      <c r="Z33" s="8" t="inlineStr">
        <is>
          <t>Not started</t>
        </is>
      </c>
      <c r="AA33" s="8" t="n"/>
      <c r="AB33" s="8" t="n"/>
      <c r="AC33" s="8" t="n"/>
      <c r="AD33" s="8" t="n"/>
      <c r="AE33" s="8" t="n"/>
      <c r="AF33" s="8" t="n"/>
      <c r="AG33" s="8" t="n"/>
      <c r="AH33" s="8" t="n"/>
      <c r="AI33" s="8" t="n"/>
      <c r="AJ33" s="8">
        <f>IF(OR(AH33="",'Submission &amp; QC'!$C$18=""),"",IF(AND(ABS(AH33-'Submission &amp; QC'!$C$18)&lt;=0.0005*ABS('Submission &amp; QC'!$C$18),ABS(AI33-'Submission &amp; QC'!$C$19)&lt;=0.0005*ABS('Submission &amp; QC'!$C$19)),"Pass","Fail"))</f>
        <v/>
      </c>
      <c r="AK33" s="8" t="n"/>
      <c r="AL33" s="8" t="n"/>
    </row>
    <row r="34" ht="195" customHeight="1">
      <c r="A34" s="3" t="inlineStr">
        <is>
          <t>A033</t>
        </is>
      </c>
      <c r="B34" s="7" t="inlineStr">
        <is>
          <t>A</t>
        </is>
      </c>
      <c r="C34" s="3" t="n">
        <v>2</v>
      </c>
      <c r="D34" s="3" t="inlineStr">
        <is>
          <t>Install</t>
        </is>
      </c>
      <c r="E34" s="3" t="inlineStr">
        <is>
          <t>INST-Region-Mid-Large-Disp-Large</t>
        </is>
      </c>
      <c r="F34" s="3" t="inlineStr">
        <is>
          <t>Install large modules, dispersed, mid-shelf (30-60 m), Whole model area, large budget ($5-15 M)</t>
        </is>
      </c>
      <c r="G34" s="3" t="inlineStr">
        <is>
          <t>Whole model area</t>
        </is>
      </c>
      <c r="H34" s="3" t="inlineStr">
        <is>
          <t>Mid-shelf (30-60 m)</t>
        </is>
      </c>
      <c r="I34" s="3" t="inlineStr">
        <is>
          <t>Large module ($12,000; 20 m2; 6 m tall)</t>
        </is>
      </c>
      <c r="J34" s="3" t="inlineStr">
        <is>
          <t>Dispersed (no connectivity preference)</t>
        </is>
      </c>
      <c r="K34" s="3" t="inlineStr">
        <is>
          <t>Large: $5-15 M</t>
        </is>
      </c>
      <c r="L34" s="3" t="n"/>
      <c r="M34" s="3" t="n"/>
      <c r="N34" s="3" t="n"/>
      <c r="O34" s="3" t="n"/>
      <c r="P34" s="3" t="n"/>
      <c r="Q34" s="3" t="n"/>
      <c r="R34" s="3" t="inlineStr">
        <is>
          <t>Strategy &gt; Strategy: Install new structures
Installation &gt; Maximum budget per scenario (USD): 15,000,000
Installation &gt; Minimum budget per scenario (USD): 5,000,000
Installation &gt; How budgets are drawn: Uniform
Installation &gt; Min depth (m): 30
Installation &gt; Max depth (m): 60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1,033</t>
        </is>
      </c>
      <c r="S34" s="3" t="inlineStr">
        <is>
          <t>A033_INST-Region-Mid-Large-Disp-Large.json</t>
        </is>
      </c>
      <c r="T34" s="3" t="n">
        <v>100</v>
      </c>
      <c r="U34" s="3" t="n">
        <v>1033</v>
      </c>
      <c r="V34" s="3" t="n">
        <v>489</v>
      </c>
      <c r="W34" s="3" t="n"/>
      <c r="X34" s="3">
        <f>ROUND((T34+1)*'Read me'!$C$14/60,1)</f>
        <v/>
      </c>
      <c r="Y34" s="8" t="n"/>
      <c r="Z34" s="8" t="inlineStr">
        <is>
          <t>Not started</t>
        </is>
      </c>
      <c r="AA34" s="8" t="n"/>
      <c r="AB34" s="8" t="n"/>
      <c r="AC34" s="8" t="n"/>
      <c r="AD34" s="8" t="n"/>
      <c r="AE34" s="8" t="n"/>
      <c r="AF34" s="8" t="n"/>
      <c r="AG34" s="8" t="n"/>
      <c r="AH34" s="8" t="n"/>
      <c r="AI34" s="8" t="n"/>
      <c r="AJ34" s="8">
        <f>IF(OR(AH34="",'Submission &amp; QC'!$C$18=""),"",IF(AND(ABS(AH34-'Submission &amp; QC'!$C$18)&lt;=0.0005*ABS('Submission &amp; QC'!$C$18),ABS(AI34-'Submission &amp; QC'!$C$19)&lt;=0.0005*ABS('Submission &amp; QC'!$C$19)),"Pass","Fail"))</f>
        <v/>
      </c>
      <c r="AK34" s="8" t="n"/>
      <c r="AL34" s="8" t="n"/>
    </row>
    <row r="35" ht="210" customHeight="1">
      <c r="A35" s="3" t="inlineStr">
        <is>
          <t>A034</t>
        </is>
      </c>
      <c r="B35" s="7" t="inlineStr">
        <is>
          <t>A</t>
        </is>
      </c>
      <c r="C35" s="3" t="n">
        <v>2</v>
      </c>
      <c r="D35" s="3" t="inlineStr">
        <is>
          <t>Install</t>
        </is>
      </c>
      <c r="E35" s="3" t="inlineStr">
        <is>
          <t>INST-Region-Mid-Large-Clust-Small</t>
        </is>
      </c>
      <c r="F35" s="3" t="inlineStr">
        <is>
          <t>Install large modules, clustered, mid-shelf (30-60 m), Whole model area, small budget ($0.1-1 M)</t>
        </is>
      </c>
      <c r="G35" s="3" t="inlineStr">
        <is>
          <t>Whole model area</t>
        </is>
      </c>
      <c r="H35" s="3" t="inlineStr">
        <is>
          <t>Mid-shelf (30-60 m)</t>
        </is>
      </c>
      <c r="I35" s="3" t="inlineStr">
        <is>
          <t>Large module ($12,000; 20 m2; 6 m tall)</t>
        </is>
      </c>
      <c r="J35" s="3" t="inlineStr">
        <is>
          <t>Clustered (favour cells next to existing modules)</t>
        </is>
      </c>
      <c r="K35" s="3" t="inlineStr">
        <is>
          <t>Small: $0.1-1 M</t>
        </is>
      </c>
      <c r="L35" s="3" t="n"/>
      <c r="M35" s="3" t="n"/>
      <c r="N35" s="3" t="n"/>
      <c r="O35" s="3" t="n"/>
      <c r="P35" s="3" t="n"/>
      <c r="Q35" s="3" t="n"/>
      <c r="R35" s="3" t="inlineStr">
        <is>
          <t>Strategy &gt; Strategy: Install new structures
Installation &gt; Maximum budget per scenario (USD): 1,000,000
Installation &gt; Minimum budget per scenario (USD): 100,000
Installation &gt; How budgets are drawn: Uniform
Installation &gt; Min depth (m): 30
Installation &gt; Max depth (m): 60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1,034</t>
        </is>
      </c>
      <c r="S35" s="3" t="inlineStr">
        <is>
          <t>A034_INST-Region-Mid-Large-Clust-Small.json</t>
        </is>
      </c>
      <c r="T35" s="3" t="n">
        <v>100</v>
      </c>
      <c r="U35" s="3" t="n">
        <v>1034</v>
      </c>
      <c r="V35" s="3" t="n">
        <v>489</v>
      </c>
      <c r="W35" s="3" t="n"/>
      <c r="X35" s="3">
        <f>ROUND((T35+1)*'Read me'!$C$14/60,1)</f>
        <v/>
      </c>
      <c r="Y35" s="8" t="n"/>
      <c r="Z35" s="8" t="inlineStr">
        <is>
          <t>Not started</t>
        </is>
      </c>
      <c r="AA35" s="8" t="n"/>
      <c r="AB35" s="8" t="n"/>
      <c r="AC35" s="8" t="n"/>
      <c r="AD35" s="8" t="n"/>
      <c r="AE35" s="8" t="n"/>
      <c r="AF35" s="8" t="n"/>
      <c r="AG35" s="8" t="n"/>
      <c r="AH35" s="8" t="n"/>
      <c r="AI35" s="8" t="n"/>
      <c r="AJ35" s="8">
        <f>IF(OR(AH35="",'Submission &amp; QC'!$C$18=""),"",IF(AND(ABS(AH35-'Submission &amp; QC'!$C$18)&lt;=0.0005*ABS('Submission &amp; QC'!$C$18),ABS(AI35-'Submission &amp; QC'!$C$19)&lt;=0.0005*ABS('Submission &amp; QC'!$C$19)),"Pass","Fail"))</f>
        <v/>
      </c>
      <c r="AK35" s="8" t="n"/>
      <c r="AL35" s="8" t="n"/>
    </row>
    <row r="36" ht="210" customHeight="1">
      <c r="A36" s="3" t="inlineStr">
        <is>
          <t>A035</t>
        </is>
      </c>
      <c r="B36" s="7" t="inlineStr">
        <is>
          <t>A</t>
        </is>
      </c>
      <c r="C36" s="3" t="n">
        <v>2</v>
      </c>
      <c r="D36" s="3" t="inlineStr">
        <is>
          <t>Install</t>
        </is>
      </c>
      <c r="E36" s="3" t="inlineStr">
        <is>
          <t>INST-Region-Mid-Large-Clust-Medium</t>
        </is>
      </c>
      <c r="F36" s="3" t="inlineStr">
        <is>
          <t>Install large modules, clustered, mid-shelf (30-60 m), Whole model area, medium budget ($1-5 M)</t>
        </is>
      </c>
      <c r="G36" s="3" t="inlineStr">
        <is>
          <t>Whole model area</t>
        </is>
      </c>
      <c r="H36" s="3" t="inlineStr">
        <is>
          <t>Mid-shelf (30-60 m)</t>
        </is>
      </c>
      <c r="I36" s="3" t="inlineStr">
        <is>
          <t>Large module ($12,000; 20 m2; 6 m tall)</t>
        </is>
      </c>
      <c r="J36" s="3" t="inlineStr">
        <is>
          <t>Clustered (favour cells next to existing modules)</t>
        </is>
      </c>
      <c r="K36" s="3" t="inlineStr">
        <is>
          <t>Medium: $1-5 M</t>
        </is>
      </c>
      <c r="L36" s="3" t="n"/>
      <c r="M36" s="3" t="n"/>
      <c r="N36" s="3" t="n"/>
      <c r="O36" s="3" t="n"/>
      <c r="P36" s="3" t="n"/>
      <c r="Q36" s="3" t="n"/>
      <c r="R36" s="3" t="inlineStr">
        <is>
          <t>Strategy &gt; Strategy: Install new structures
Installation &gt; Maximum budget per scenario (USD): 5,000,000
Installation &gt; Minimum budget per scenario (USD): 1,000,000
Installation &gt; How budgets are drawn: Uniform
Installation &gt; Min depth (m): 30
Installation &gt; Max depth (m): 60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1,035</t>
        </is>
      </c>
      <c r="S36" s="3" t="inlineStr">
        <is>
          <t>A035_INST-Region-Mid-Large-Clust-Medium.json</t>
        </is>
      </c>
      <c r="T36" s="3" t="n">
        <v>100</v>
      </c>
      <c r="U36" s="3" t="n">
        <v>1035</v>
      </c>
      <c r="V36" s="3" t="n">
        <v>489</v>
      </c>
      <c r="W36" s="3" t="n"/>
      <c r="X36" s="3">
        <f>ROUND((T36+1)*'Read me'!$C$14/60,1)</f>
        <v/>
      </c>
      <c r="Y36" s="8" t="n"/>
      <c r="Z36" s="8" t="inlineStr">
        <is>
          <t>Not started</t>
        </is>
      </c>
      <c r="AA36" s="8" t="n"/>
      <c r="AB36" s="8" t="n"/>
      <c r="AC36" s="8" t="n"/>
      <c r="AD36" s="8" t="n"/>
      <c r="AE36" s="8" t="n"/>
      <c r="AF36" s="8" t="n"/>
      <c r="AG36" s="8" t="n"/>
      <c r="AH36" s="8" t="n"/>
      <c r="AI36" s="8" t="n"/>
      <c r="AJ36" s="8">
        <f>IF(OR(AH36="",'Submission &amp; QC'!$C$18=""),"",IF(AND(ABS(AH36-'Submission &amp; QC'!$C$18)&lt;=0.0005*ABS('Submission &amp; QC'!$C$18),ABS(AI36-'Submission &amp; QC'!$C$19)&lt;=0.0005*ABS('Submission &amp; QC'!$C$19)),"Pass","Fail"))</f>
        <v/>
      </c>
      <c r="AK36" s="8" t="n"/>
      <c r="AL36" s="8" t="n"/>
    </row>
    <row r="37" ht="210" customHeight="1">
      <c r="A37" s="3" t="inlineStr">
        <is>
          <t>A036</t>
        </is>
      </c>
      <c r="B37" s="7" t="inlineStr">
        <is>
          <t>A</t>
        </is>
      </c>
      <c r="C37" s="3" t="n">
        <v>2</v>
      </c>
      <c r="D37" s="3" t="inlineStr">
        <is>
          <t>Install</t>
        </is>
      </c>
      <c r="E37" s="3" t="inlineStr">
        <is>
          <t>INST-Region-Mid-Large-Clust-Large</t>
        </is>
      </c>
      <c r="F37" s="3" t="inlineStr">
        <is>
          <t>Install large modules, clustered, mid-shelf (30-60 m), Whole model area, large budget ($5-15 M)</t>
        </is>
      </c>
      <c r="G37" s="3" t="inlineStr">
        <is>
          <t>Whole model area</t>
        </is>
      </c>
      <c r="H37" s="3" t="inlineStr">
        <is>
          <t>Mid-shelf (30-60 m)</t>
        </is>
      </c>
      <c r="I37" s="3" t="inlineStr">
        <is>
          <t>Large module ($12,000; 20 m2; 6 m tall)</t>
        </is>
      </c>
      <c r="J37" s="3" t="inlineStr">
        <is>
          <t>Clustered (favour cells next to existing modules)</t>
        </is>
      </c>
      <c r="K37" s="3" t="inlineStr">
        <is>
          <t>Large: $5-15 M</t>
        </is>
      </c>
      <c r="L37" s="3" t="n"/>
      <c r="M37" s="3" t="n"/>
      <c r="N37" s="3" t="n"/>
      <c r="O37" s="3" t="n"/>
      <c r="P37" s="3" t="n"/>
      <c r="Q37" s="3" t="n"/>
      <c r="R37" s="3" t="inlineStr">
        <is>
          <t>Strategy &gt; Strategy: Install new structures
Installation &gt; Maximum budget per scenario (USD): 15,000,000
Installation &gt; Minimum budget per scenario (USD): 5,000,000
Installation &gt; How budgets are drawn: Uniform
Installation &gt; Min depth (m): 30
Installation &gt; Max depth (m): 60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1,036</t>
        </is>
      </c>
      <c r="S37" s="3" t="inlineStr">
        <is>
          <t>A036_INST-Region-Mid-Large-Clust-Large.json</t>
        </is>
      </c>
      <c r="T37" s="3" t="n">
        <v>100</v>
      </c>
      <c r="U37" s="3" t="n">
        <v>1036</v>
      </c>
      <c r="V37" s="3" t="n">
        <v>489</v>
      </c>
      <c r="W37" s="3" t="n"/>
      <c r="X37" s="3">
        <f>ROUND((T37+1)*'Read me'!$C$14/60,1)</f>
        <v/>
      </c>
      <c r="Y37" s="8" t="n"/>
      <c r="Z37" s="8" t="inlineStr">
        <is>
          <t>Not started</t>
        </is>
      </c>
      <c r="AA37" s="8" t="n"/>
      <c r="AB37" s="8" t="n"/>
      <c r="AC37" s="8" t="n"/>
      <c r="AD37" s="8" t="n"/>
      <c r="AE37" s="8" t="n"/>
      <c r="AF37" s="8" t="n"/>
      <c r="AG37" s="8" t="n"/>
      <c r="AH37" s="8" t="n"/>
      <c r="AI37" s="8" t="n"/>
      <c r="AJ37" s="8">
        <f>IF(OR(AH37="",'Submission &amp; QC'!$C$18=""),"",IF(AND(ABS(AH37-'Submission &amp; QC'!$C$18)&lt;=0.0005*ABS('Submission &amp; QC'!$C$18),ABS(AI37-'Submission &amp; QC'!$C$19)&lt;=0.0005*ABS('Submission &amp; QC'!$C$19)),"Pass","Fail"))</f>
        <v/>
      </c>
      <c r="AK37" s="8" t="n"/>
      <c r="AL37" s="8" t="n"/>
    </row>
    <row r="38" ht="150" customHeight="1">
      <c r="A38" s="3" t="inlineStr">
        <is>
          <t>A037</t>
        </is>
      </c>
      <c r="B38" s="7" t="inlineStr">
        <is>
          <t>A</t>
        </is>
      </c>
      <c r="C38" s="3" t="n">
        <v>1</v>
      </c>
      <c r="D38" s="3" t="inlineStr">
        <is>
          <t>Install</t>
        </is>
      </c>
      <c r="E38" s="3" t="inlineStr">
        <is>
          <t>INST-Region-Deep-Std-Disp-Small</t>
        </is>
      </c>
      <c r="F38" s="3" t="inlineStr">
        <is>
          <t>Install standard prefab modules, dispersed, deep (60-100 m), Whole model area, small budget ($0.1-1 M)</t>
        </is>
      </c>
      <c r="G38" s="3" t="inlineStr">
        <is>
          <t>Whole model area</t>
        </is>
      </c>
      <c r="H38" s="3" t="inlineStr">
        <is>
          <t>Deep (60-100 m)</t>
        </is>
      </c>
      <c r="I38" s="3" t="inlineStr">
        <is>
          <t>Standard prefab module ($2,500; 6 m2; 3 m tall)</t>
        </is>
      </c>
      <c r="J38" s="3" t="inlineStr">
        <is>
          <t>Dispersed (no connectivity preference)</t>
        </is>
      </c>
      <c r="K38" s="3" t="inlineStr">
        <is>
          <t>Small: $0.1-1 M</t>
        </is>
      </c>
      <c r="L38" s="3" t="n"/>
      <c r="M38" s="3" t="n"/>
      <c r="N38" s="3" t="n"/>
      <c r="O38" s="3" t="n"/>
      <c r="P38" s="3" t="n"/>
      <c r="Q38" s="3" t="n"/>
      <c r="R38" s="3" t="inlineStr">
        <is>
          <t>Strategy &gt; Strategy: Install new structures
Installation &gt; Maximum budget per scenario (USD): 1,000,000
Installation &gt; Minimum budget per scenario (USD): 100,000
Installation &gt; How budgets are drawn: Uniform
Installation &gt; Min depth (m): 60
Installation &gt; Max depth (m): 100
Installation &gt; Favour cells next to existing modules: unticked
Live solver / Search &gt; Number of scenarios to run: 100
Search &gt; Search algorithm: Random search
Search &gt; Random seed: 1,037</t>
        </is>
      </c>
      <c r="S38" s="3" t="inlineStr">
        <is>
          <t>A037_INST-Region-Deep-Std-Disp-Small.json</t>
        </is>
      </c>
      <c r="T38" s="3" t="n">
        <v>100</v>
      </c>
      <c r="U38" s="3" t="n">
        <v>1037</v>
      </c>
      <c r="V38" s="3" t="n">
        <v>202</v>
      </c>
      <c r="W38" s="3" t="n"/>
      <c r="X38" s="3">
        <f>ROUND((T38+1)*'Read me'!$C$14/60,1)</f>
        <v/>
      </c>
      <c r="Y38" s="8" t="n"/>
      <c r="Z38" s="8" t="inlineStr">
        <is>
          <t>Not started</t>
        </is>
      </c>
      <c r="AA38" s="8" t="n"/>
      <c r="AB38" s="8" t="n"/>
      <c r="AC38" s="8" t="n"/>
      <c r="AD38" s="8" t="n"/>
      <c r="AE38" s="8" t="n"/>
      <c r="AF38" s="8" t="n"/>
      <c r="AG38" s="8" t="n"/>
      <c r="AH38" s="8" t="n"/>
      <c r="AI38" s="8" t="n"/>
      <c r="AJ38" s="8">
        <f>IF(OR(AH38="",'Submission &amp; QC'!$C$18=""),"",IF(AND(ABS(AH38-'Submission &amp; QC'!$C$18)&lt;=0.0005*ABS('Submission &amp; QC'!$C$18),ABS(AI38-'Submission &amp; QC'!$C$19)&lt;=0.0005*ABS('Submission &amp; QC'!$C$19)),"Pass","Fail"))</f>
        <v/>
      </c>
      <c r="AK38" s="8" t="n"/>
      <c r="AL38" s="8" t="n"/>
    </row>
    <row r="39" ht="150" customHeight="1">
      <c r="A39" s="3" t="inlineStr">
        <is>
          <t>A038</t>
        </is>
      </c>
      <c r="B39" s="7" t="inlineStr">
        <is>
          <t>A</t>
        </is>
      </c>
      <c r="C39" s="3" t="n">
        <v>1</v>
      </c>
      <c r="D39" s="3" t="inlineStr">
        <is>
          <t>Install</t>
        </is>
      </c>
      <c r="E39" s="3" t="inlineStr">
        <is>
          <t>INST-Region-Deep-Std-Disp-Medium</t>
        </is>
      </c>
      <c r="F39" s="3" t="inlineStr">
        <is>
          <t>Install standard prefab modules, dispersed, deep (60-100 m), Whole model area, medium budget ($1-5 M)</t>
        </is>
      </c>
      <c r="G39" s="3" t="inlineStr">
        <is>
          <t>Whole model area</t>
        </is>
      </c>
      <c r="H39" s="3" t="inlineStr">
        <is>
          <t>Deep (60-100 m)</t>
        </is>
      </c>
      <c r="I39" s="3" t="inlineStr">
        <is>
          <t>Standard prefab module ($2,500; 6 m2; 3 m tall)</t>
        </is>
      </c>
      <c r="J39" s="3" t="inlineStr">
        <is>
          <t>Dispersed (no connectivity preference)</t>
        </is>
      </c>
      <c r="K39" s="3" t="inlineStr">
        <is>
          <t>Medium: $1-5 M</t>
        </is>
      </c>
      <c r="L39" s="3" t="n"/>
      <c r="M39" s="3" t="n"/>
      <c r="N39" s="3" t="n"/>
      <c r="O39" s="3" t="n"/>
      <c r="P39" s="3" t="n"/>
      <c r="Q39" s="3" t="n"/>
      <c r="R39" s="3" t="inlineStr">
        <is>
          <t>Strategy &gt; Strategy: Install new structures
Installation &gt; Maximum budget per scenario (USD): 5,000,000
Installation &gt; Minimum budget per scenario (USD): 1,000,000
Installation &gt; How budgets are drawn: Uniform
Installation &gt; Min depth (m): 60
Installation &gt; Max depth (m): 100
Installation &gt; Favour cells next to existing modules: unticked
Live solver / Search &gt; Number of scenarios to run: 100
Search &gt; Search algorithm: Random search
Search &gt; Random seed: 1,038</t>
        </is>
      </c>
      <c r="S39" s="3" t="inlineStr">
        <is>
          <t>A038_INST-Region-Deep-Std-Disp-Medium.json</t>
        </is>
      </c>
      <c r="T39" s="3" t="n">
        <v>100</v>
      </c>
      <c r="U39" s="3" t="n">
        <v>1038</v>
      </c>
      <c r="V39" s="3" t="n">
        <v>202</v>
      </c>
      <c r="W39" s="3" t="n"/>
      <c r="X39" s="3">
        <f>ROUND((T39+1)*'Read me'!$C$14/60,1)</f>
        <v/>
      </c>
      <c r="Y39" s="8" t="n"/>
      <c r="Z39" s="8" t="inlineStr">
        <is>
          <t>Not started</t>
        </is>
      </c>
      <c r="AA39" s="8" t="n"/>
      <c r="AB39" s="8" t="n"/>
      <c r="AC39" s="8" t="n"/>
      <c r="AD39" s="8" t="n"/>
      <c r="AE39" s="8" t="n"/>
      <c r="AF39" s="8" t="n"/>
      <c r="AG39" s="8" t="n"/>
      <c r="AH39" s="8" t="n"/>
      <c r="AI39" s="8" t="n"/>
      <c r="AJ39" s="8">
        <f>IF(OR(AH39="",'Submission &amp; QC'!$C$18=""),"",IF(AND(ABS(AH39-'Submission &amp; QC'!$C$18)&lt;=0.0005*ABS('Submission &amp; QC'!$C$18),ABS(AI39-'Submission &amp; QC'!$C$19)&lt;=0.0005*ABS('Submission &amp; QC'!$C$19)),"Pass","Fail"))</f>
        <v/>
      </c>
      <c r="AK39" s="8" t="n"/>
      <c r="AL39" s="8" t="n"/>
    </row>
    <row r="40" ht="150" customHeight="1">
      <c r="A40" s="3" t="inlineStr">
        <is>
          <t>A039</t>
        </is>
      </c>
      <c r="B40" s="7" t="inlineStr">
        <is>
          <t>A</t>
        </is>
      </c>
      <c r="C40" s="3" t="n">
        <v>1</v>
      </c>
      <c r="D40" s="3" t="inlineStr">
        <is>
          <t>Install</t>
        </is>
      </c>
      <c r="E40" s="3" t="inlineStr">
        <is>
          <t>INST-Region-Deep-Std-Disp-Large</t>
        </is>
      </c>
      <c r="F40" s="3" t="inlineStr">
        <is>
          <t>Install standard prefab modules, dispersed, deep (60-100 m), Whole model area, large budget ($5-15 M)</t>
        </is>
      </c>
      <c r="G40" s="3" t="inlineStr">
        <is>
          <t>Whole model area</t>
        </is>
      </c>
      <c r="H40" s="3" t="inlineStr">
        <is>
          <t>Deep (60-100 m)</t>
        </is>
      </c>
      <c r="I40" s="3" t="inlineStr">
        <is>
          <t>Standard prefab module ($2,500; 6 m2; 3 m tall)</t>
        </is>
      </c>
      <c r="J40" s="3" t="inlineStr">
        <is>
          <t>Dispersed (no connectivity preference)</t>
        </is>
      </c>
      <c r="K40" s="3" t="inlineStr">
        <is>
          <t>Large: $5-15 M</t>
        </is>
      </c>
      <c r="L40" s="3" t="n"/>
      <c r="M40" s="3" t="n"/>
      <c r="N40" s="3" t="n"/>
      <c r="O40" s="3" t="n"/>
      <c r="P40" s="3" t="n"/>
      <c r="Q40" s="3" t="n"/>
      <c r="R40" s="3" t="inlineStr">
        <is>
          <t>Strategy &gt; Strategy: Install new structures
Installation &gt; Maximum budget per scenario (USD): 15,000,000
Installation &gt; Minimum budget per scenario (USD): 5,000,000
Installation &gt; How budgets are drawn: Uniform
Installation &gt; Min depth (m): 60
Installation &gt; Max depth (m): 100
Installation &gt; Favour cells next to existing modules: unticked
Live solver / Search &gt; Number of scenarios to run: 100
Search &gt; Search algorithm: Random search
Search &gt; Random seed: 1,039</t>
        </is>
      </c>
      <c r="S40" s="3" t="inlineStr">
        <is>
          <t>A039_INST-Region-Deep-Std-Disp-Large.json</t>
        </is>
      </c>
      <c r="T40" s="3" t="n">
        <v>100</v>
      </c>
      <c r="U40" s="3" t="n">
        <v>1039</v>
      </c>
      <c r="V40" s="3" t="n">
        <v>202</v>
      </c>
      <c r="W40" s="3" t="n"/>
      <c r="X40" s="3">
        <f>ROUND((T40+1)*'Read me'!$C$14/60,1)</f>
        <v/>
      </c>
      <c r="Y40" s="8" t="n"/>
      <c r="Z40" s="8" t="inlineStr">
        <is>
          <t>Not started</t>
        </is>
      </c>
      <c r="AA40" s="8" t="n"/>
      <c r="AB40" s="8" t="n"/>
      <c r="AC40" s="8" t="n"/>
      <c r="AD40" s="8" t="n"/>
      <c r="AE40" s="8" t="n"/>
      <c r="AF40" s="8" t="n"/>
      <c r="AG40" s="8" t="n"/>
      <c r="AH40" s="8" t="n"/>
      <c r="AI40" s="8" t="n"/>
      <c r="AJ40" s="8">
        <f>IF(OR(AH40="",'Submission &amp; QC'!$C$18=""),"",IF(AND(ABS(AH40-'Submission &amp; QC'!$C$18)&lt;=0.0005*ABS('Submission &amp; QC'!$C$18),ABS(AI40-'Submission &amp; QC'!$C$19)&lt;=0.0005*ABS('Submission &amp; QC'!$C$19)),"Pass","Fail"))</f>
        <v/>
      </c>
      <c r="AK40" s="8" t="n"/>
      <c r="AL40" s="8" t="n"/>
    </row>
    <row r="41" ht="165" customHeight="1">
      <c r="A41" s="3" t="inlineStr">
        <is>
          <t>A040</t>
        </is>
      </c>
      <c r="B41" s="7" t="inlineStr">
        <is>
          <t>A</t>
        </is>
      </c>
      <c r="C41" s="3" t="n">
        <v>1</v>
      </c>
      <c r="D41" s="3" t="inlineStr">
        <is>
          <t>Install</t>
        </is>
      </c>
      <c r="E41" s="3" t="inlineStr">
        <is>
          <t>INST-Region-Deep-Std-Clust-Small</t>
        </is>
      </c>
      <c r="F41" s="3" t="inlineStr">
        <is>
          <t>Install standard prefab modules, clustered, deep (60-100 m), Whole model area, small budget ($0.1-1 M)</t>
        </is>
      </c>
      <c r="G41" s="3" t="inlineStr">
        <is>
          <t>Whole model area</t>
        </is>
      </c>
      <c r="H41" s="3" t="inlineStr">
        <is>
          <t>Deep (60-100 m)</t>
        </is>
      </c>
      <c r="I41" s="3" t="inlineStr">
        <is>
          <t>Standard prefab module ($2,500; 6 m2; 3 m tall)</t>
        </is>
      </c>
      <c r="J41" s="3" t="inlineStr">
        <is>
          <t>Clustered (favour cells next to existing modules)</t>
        </is>
      </c>
      <c r="K41" s="3" t="inlineStr">
        <is>
          <t>Small: $0.1-1 M</t>
        </is>
      </c>
      <c r="L41" s="3" t="n"/>
      <c r="M41" s="3" t="n"/>
      <c r="N41" s="3" t="n"/>
      <c r="O41" s="3" t="n"/>
      <c r="P41" s="3" t="n"/>
      <c r="Q41" s="3" t="n"/>
      <c r="R41" s="3" t="inlineStr">
        <is>
          <t>Strategy &gt; Strategy: Install new structures
Installation &gt; Maximum budget per scenario (USD): 1,000,000
Installation &gt; Minimum budget per scenario (USD): 100,000
Installation &gt; How budgets are drawn: Uniform
Installation &gt; Min depth (m): 60
Installation &gt; Max depth (m): 100
Installation &gt; Favour cells next to existing modules: ticked
Installation &gt; Connectivity bonus: 10
Live solver / Search &gt; Number of scenarios to run: 100
Search &gt; Search algorithm: Random search
Search &gt; Random seed: 1,040</t>
        </is>
      </c>
      <c r="S41" s="3" t="inlineStr">
        <is>
          <t>A040_INST-Region-Deep-Std-Clust-Small.json</t>
        </is>
      </c>
      <c r="T41" s="3" t="n">
        <v>100</v>
      </c>
      <c r="U41" s="3" t="n">
        <v>1040</v>
      </c>
      <c r="V41" s="3" t="n">
        <v>202</v>
      </c>
      <c r="W41" s="3" t="n"/>
      <c r="X41" s="3">
        <f>ROUND((T41+1)*'Read me'!$C$14/60,1)</f>
        <v/>
      </c>
      <c r="Y41" s="8" t="n"/>
      <c r="Z41" s="8" t="inlineStr">
        <is>
          <t>Not started</t>
        </is>
      </c>
      <c r="AA41" s="8" t="n"/>
      <c r="AB41" s="8" t="n"/>
      <c r="AC41" s="8" t="n"/>
      <c r="AD41" s="8" t="n"/>
      <c r="AE41" s="8" t="n"/>
      <c r="AF41" s="8" t="n"/>
      <c r="AG41" s="8" t="n"/>
      <c r="AH41" s="8" t="n"/>
      <c r="AI41" s="8" t="n"/>
      <c r="AJ41" s="8">
        <f>IF(OR(AH41="",'Submission &amp; QC'!$C$18=""),"",IF(AND(ABS(AH41-'Submission &amp; QC'!$C$18)&lt;=0.0005*ABS('Submission &amp; QC'!$C$18),ABS(AI41-'Submission &amp; QC'!$C$19)&lt;=0.0005*ABS('Submission &amp; QC'!$C$19)),"Pass","Fail"))</f>
        <v/>
      </c>
      <c r="AK41" s="8" t="n"/>
      <c r="AL41" s="8" t="n"/>
    </row>
    <row r="42" ht="165" customHeight="1">
      <c r="A42" s="3" t="inlineStr">
        <is>
          <t>A041</t>
        </is>
      </c>
      <c r="B42" s="7" t="inlineStr">
        <is>
          <t>A</t>
        </is>
      </c>
      <c r="C42" s="3" t="n">
        <v>1</v>
      </c>
      <c r="D42" s="3" t="inlineStr">
        <is>
          <t>Install</t>
        </is>
      </c>
      <c r="E42" s="3" t="inlineStr">
        <is>
          <t>INST-Region-Deep-Std-Clust-Medium</t>
        </is>
      </c>
      <c r="F42" s="3" t="inlineStr">
        <is>
          <t>Install standard prefab modules, clustered, deep (60-100 m), Whole model area, medium budget ($1-5 M)</t>
        </is>
      </c>
      <c r="G42" s="3" t="inlineStr">
        <is>
          <t>Whole model area</t>
        </is>
      </c>
      <c r="H42" s="3" t="inlineStr">
        <is>
          <t>Deep (60-100 m)</t>
        </is>
      </c>
      <c r="I42" s="3" t="inlineStr">
        <is>
          <t>Standard prefab module ($2,500; 6 m2; 3 m tall)</t>
        </is>
      </c>
      <c r="J42" s="3" t="inlineStr">
        <is>
          <t>Clustered (favour cells next to existing modules)</t>
        </is>
      </c>
      <c r="K42" s="3" t="inlineStr">
        <is>
          <t>Medium: $1-5 M</t>
        </is>
      </c>
      <c r="L42" s="3" t="n"/>
      <c r="M42" s="3" t="n"/>
      <c r="N42" s="3" t="n"/>
      <c r="O42" s="3" t="n"/>
      <c r="P42" s="3" t="n"/>
      <c r="Q42" s="3" t="n"/>
      <c r="R42" s="3" t="inlineStr">
        <is>
          <t>Strategy &gt; Strategy: Install new structures
Installation &gt; Maximum budget per scenario (USD): 5,000,000
Installation &gt; Minimum budget per scenario (USD): 1,000,000
Installation &gt; How budgets are drawn: Uniform
Installation &gt; Min depth (m): 60
Installation &gt; Max depth (m): 100
Installation &gt; Favour cells next to existing modules: ticked
Installation &gt; Connectivity bonus: 10
Live solver / Search &gt; Number of scenarios to run: 100
Search &gt; Search algorithm: Random search
Search &gt; Random seed: 1,041</t>
        </is>
      </c>
      <c r="S42" s="3" t="inlineStr">
        <is>
          <t>A041_INST-Region-Deep-Std-Clust-Medium.json</t>
        </is>
      </c>
      <c r="T42" s="3" t="n">
        <v>100</v>
      </c>
      <c r="U42" s="3" t="n">
        <v>1041</v>
      </c>
      <c r="V42" s="3" t="n">
        <v>202</v>
      </c>
      <c r="W42" s="3" t="n"/>
      <c r="X42" s="3">
        <f>ROUND((T42+1)*'Read me'!$C$14/60,1)</f>
        <v/>
      </c>
      <c r="Y42" s="8" t="n"/>
      <c r="Z42" s="8" t="inlineStr">
        <is>
          <t>Not started</t>
        </is>
      </c>
      <c r="AA42" s="8" t="n"/>
      <c r="AB42" s="8" t="n"/>
      <c r="AC42" s="8" t="n"/>
      <c r="AD42" s="8" t="n"/>
      <c r="AE42" s="8" t="n"/>
      <c r="AF42" s="8" t="n"/>
      <c r="AG42" s="8" t="n"/>
      <c r="AH42" s="8" t="n"/>
      <c r="AI42" s="8" t="n"/>
      <c r="AJ42" s="8">
        <f>IF(OR(AH42="",'Submission &amp; QC'!$C$18=""),"",IF(AND(ABS(AH42-'Submission &amp; QC'!$C$18)&lt;=0.0005*ABS('Submission &amp; QC'!$C$18),ABS(AI42-'Submission &amp; QC'!$C$19)&lt;=0.0005*ABS('Submission &amp; QC'!$C$19)),"Pass","Fail"))</f>
        <v/>
      </c>
      <c r="AK42" s="8" t="n"/>
      <c r="AL42" s="8" t="n"/>
    </row>
    <row r="43" ht="165" customHeight="1">
      <c r="A43" s="3" t="inlineStr">
        <is>
          <t>A042</t>
        </is>
      </c>
      <c r="B43" s="7" t="inlineStr">
        <is>
          <t>A</t>
        </is>
      </c>
      <c r="C43" s="3" t="n">
        <v>1</v>
      </c>
      <c r="D43" s="3" t="inlineStr">
        <is>
          <t>Install</t>
        </is>
      </c>
      <c r="E43" s="3" t="inlineStr">
        <is>
          <t>INST-Region-Deep-Std-Clust-Large</t>
        </is>
      </c>
      <c r="F43" s="3" t="inlineStr">
        <is>
          <t>Install standard prefab modules, clustered, deep (60-100 m), Whole model area, large budget ($5-15 M)</t>
        </is>
      </c>
      <c r="G43" s="3" t="inlineStr">
        <is>
          <t>Whole model area</t>
        </is>
      </c>
      <c r="H43" s="3" t="inlineStr">
        <is>
          <t>Deep (60-100 m)</t>
        </is>
      </c>
      <c r="I43" s="3" t="inlineStr">
        <is>
          <t>Standard prefab module ($2,500; 6 m2; 3 m tall)</t>
        </is>
      </c>
      <c r="J43" s="3" t="inlineStr">
        <is>
          <t>Clustered (favour cells next to existing modules)</t>
        </is>
      </c>
      <c r="K43" s="3" t="inlineStr">
        <is>
          <t>Large: $5-15 M</t>
        </is>
      </c>
      <c r="L43" s="3" t="n"/>
      <c r="M43" s="3" t="n"/>
      <c r="N43" s="3" t="n"/>
      <c r="O43" s="3" t="n"/>
      <c r="P43" s="3" t="n"/>
      <c r="Q43" s="3" t="n"/>
      <c r="R43" s="3" t="inlineStr">
        <is>
          <t>Strategy &gt; Strategy: Install new structures
Installation &gt; Maximum budget per scenario (USD): 15,000,000
Installation &gt; Minimum budget per scenario (USD): 5,000,000
Installation &gt; How budgets are drawn: Uniform
Installation &gt; Min depth (m): 60
Installation &gt; Max depth (m): 100
Installation &gt; Favour cells next to existing modules: ticked
Installation &gt; Connectivity bonus: 10
Live solver / Search &gt; Number of scenarios to run: 100
Search &gt; Search algorithm: Random search
Search &gt; Random seed: 1,042</t>
        </is>
      </c>
      <c r="S43" s="3" t="inlineStr">
        <is>
          <t>A042_INST-Region-Deep-Std-Clust-Large.json</t>
        </is>
      </c>
      <c r="T43" s="3" t="n">
        <v>100</v>
      </c>
      <c r="U43" s="3" t="n">
        <v>1042</v>
      </c>
      <c r="V43" s="3" t="n">
        <v>202</v>
      </c>
      <c r="W43" s="3" t="n"/>
      <c r="X43" s="3">
        <f>ROUND((T43+1)*'Read me'!$C$14/60,1)</f>
        <v/>
      </c>
      <c r="Y43" s="8" t="n"/>
      <c r="Z43" s="8" t="inlineStr">
        <is>
          <t>Not started</t>
        </is>
      </c>
      <c r="AA43" s="8" t="n"/>
      <c r="AB43" s="8" t="n"/>
      <c r="AC43" s="8" t="n"/>
      <c r="AD43" s="8" t="n"/>
      <c r="AE43" s="8" t="n"/>
      <c r="AF43" s="8" t="n"/>
      <c r="AG43" s="8" t="n"/>
      <c r="AH43" s="8" t="n"/>
      <c r="AI43" s="8" t="n"/>
      <c r="AJ43" s="8">
        <f>IF(OR(AH43="",'Submission &amp; QC'!$C$18=""),"",IF(AND(ABS(AH43-'Submission &amp; QC'!$C$18)&lt;=0.0005*ABS('Submission &amp; QC'!$C$18),ABS(AI43-'Submission &amp; QC'!$C$19)&lt;=0.0005*ABS('Submission &amp; QC'!$C$19)),"Pass","Fail"))</f>
        <v/>
      </c>
      <c r="AK43" s="8" t="n"/>
      <c r="AL43" s="8" t="n"/>
    </row>
    <row r="44" ht="195" customHeight="1">
      <c r="A44" s="3" t="inlineStr">
        <is>
          <t>A043</t>
        </is>
      </c>
      <c r="B44" s="7" t="inlineStr">
        <is>
          <t>A</t>
        </is>
      </c>
      <c r="C44" s="3" t="n">
        <v>2</v>
      </c>
      <c r="D44" s="3" t="inlineStr">
        <is>
          <t>Install</t>
        </is>
      </c>
      <c r="E44" s="3" t="inlineStr">
        <is>
          <t>INST-Region-Deep-Large-Disp-Small</t>
        </is>
      </c>
      <c r="F44" s="3" t="inlineStr">
        <is>
          <t>Install large modules, dispersed, deep (60-100 m), Whole model area, small budget ($0.1-1 M)</t>
        </is>
      </c>
      <c r="G44" s="3" t="inlineStr">
        <is>
          <t>Whole model area</t>
        </is>
      </c>
      <c r="H44" s="3" t="inlineStr">
        <is>
          <t>Deep (60-100 m)</t>
        </is>
      </c>
      <c r="I44" s="3" t="inlineStr">
        <is>
          <t>Large module ($12,000; 20 m2; 6 m tall)</t>
        </is>
      </c>
      <c r="J44" s="3" t="inlineStr">
        <is>
          <t>Dispersed (no connectivity preference)</t>
        </is>
      </c>
      <c r="K44" s="3" t="inlineStr">
        <is>
          <t>Small: $0.1-1 M</t>
        </is>
      </c>
      <c r="L44" s="3" t="n"/>
      <c r="M44" s="3" t="n"/>
      <c r="N44" s="3" t="n"/>
      <c r="O44" s="3" t="n"/>
      <c r="P44" s="3" t="n"/>
      <c r="Q44" s="3" t="n"/>
      <c r="R44" s="3" t="inlineStr">
        <is>
          <t>Strategy &gt; Strategy: Install new structures
Installation &gt; Maximum budget per scenario (USD): 1,000,000
Installation &gt; Minimum budget per scenario (USD): 100,000
Installation &gt; How budgets are drawn: Uniform
Installation &gt; Min depth (m): 60
Installation &gt; Max depth (m): 100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1,043</t>
        </is>
      </c>
      <c r="S44" s="3" t="inlineStr">
        <is>
          <t>A043_INST-Region-Deep-Large-Disp-Small.json</t>
        </is>
      </c>
      <c r="T44" s="3" t="n">
        <v>100</v>
      </c>
      <c r="U44" s="3" t="n">
        <v>1043</v>
      </c>
      <c r="V44" s="3" t="n">
        <v>202</v>
      </c>
      <c r="W44" s="3" t="n"/>
      <c r="X44" s="3">
        <f>ROUND((T44+1)*'Read me'!$C$14/60,1)</f>
        <v/>
      </c>
      <c r="Y44" s="8" t="n"/>
      <c r="Z44" s="8" t="inlineStr">
        <is>
          <t>Not started</t>
        </is>
      </c>
      <c r="AA44" s="8" t="n"/>
      <c r="AB44" s="8" t="n"/>
      <c r="AC44" s="8" t="n"/>
      <c r="AD44" s="8" t="n"/>
      <c r="AE44" s="8" t="n"/>
      <c r="AF44" s="8" t="n"/>
      <c r="AG44" s="8" t="n"/>
      <c r="AH44" s="8" t="n"/>
      <c r="AI44" s="8" t="n"/>
      <c r="AJ44" s="8">
        <f>IF(OR(AH44="",'Submission &amp; QC'!$C$18=""),"",IF(AND(ABS(AH44-'Submission &amp; QC'!$C$18)&lt;=0.0005*ABS('Submission &amp; QC'!$C$18),ABS(AI44-'Submission &amp; QC'!$C$19)&lt;=0.0005*ABS('Submission &amp; QC'!$C$19)),"Pass","Fail"))</f>
        <v/>
      </c>
      <c r="AK44" s="8" t="n"/>
      <c r="AL44" s="8" t="n"/>
    </row>
    <row r="45" ht="195" customHeight="1">
      <c r="A45" s="3" t="inlineStr">
        <is>
          <t>A044</t>
        </is>
      </c>
      <c r="B45" s="7" t="inlineStr">
        <is>
          <t>A</t>
        </is>
      </c>
      <c r="C45" s="3" t="n">
        <v>2</v>
      </c>
      <c r="D45" s="3" t="inlineStr">
        <is>
          <t>Install</t>
        </is>
      </c>
      <c r="E45" s="3" t="inlineStr">
        <is>
          <t>INST-Region-Deep-Large-Disp-Medium</t>
        </is>
      </c>
      <c r="F45" s="3" t="inlineStr">
        <is>
          <t>Install large modules, dispersed, deep (60-100 m), Whole model area, medium budget ($1-5 M)</t>
        </is>
      </c>
      <c r="G45" s="3" t="inlineStr">
        <is>
          <t>Whole model area</t>
        </is>
      </c>
      <c r="H45" s="3" t="inlineStr">
        <is>
          <t>Deep (60-100 m)</t>
        </is>
      </c>
      <c r="I45" s="3" t="inlineStr">
        <is>
          <t>Large module ($12,000; 20 m2; 6 m tall)</t>
        </is>
      </c>
      <c r="J45" s="3" t="inlineStr">
        <is>
          <t>Dispersed (no connectivity preference)</t>
        </is>
      </c>
      <c r="K45" s="3" t="inlineStr">
        <is>
          <t>Medium: $1-5 M</t>
        </is>
      </c>
      <c r="L45" s="3" t="n"/>
      <c r="M45" s="3" t="n"/>
      <c r="N45" s="3" t="n"/>
      <c r="O45" s="3" t="n"/>
      <c r="P45" s="3" t="n"/>
      <c r="Q45" s="3" t="n"/>
      <c r="R45" s="3" t="inlineStr">
        <is>
          <t>Strategy &gt; Strategy: Install new structures
Installation &gt; Maximum budget per scenario (USD): 5,000,000
Installation &gt; Minimum budget per scenario (USD): 1,000,000
Installation &gt; How budgets are drawn: Uniform
Installation &gt; Min depth (m): 60
Installation &gt; Max depth (m): 100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1,044</t>
        </is>
      </c>
      <c r="S45" s="3" t="inlineStr">
        <is>
          <t>A044_INST-Region-Deep-Large-Disp-Medium.json</t>
        </is>
      </c>
      <c r="T45" s="3" t="n">
        <v>100</v>
      </c>
      <c r="U45" s="3" t="n">
        <v>1044</v>
      </c>
      <c r="V45" s="3" t="n">
        <v>202</v>
      </c>
      <c r="W45" s="3" t="n"/>
      <c r="X45" s="3">
        <f>ROUND((T45+1)*'Read me'!$C$14/60,1)</f>
        <v/>
      </c>
      <c r="Y45" s="8" t="n"/>
      <c r="Z45" s="8" t="inlineStr">
        <is>
          <t>Not started</t>
        </is>
      </c>
      <c r="AA45" s="8" t="n"/>
      <c r="AB45" s="8" t="n"/>
      <c r="AC45" s="8" t="n"/>
      <c r="AD45" s="8" t="n"/>
      <c r="AE45" s="8" t="n"/>
      <c r="AF45" s="8" t="n"/>
      <c r="AG45" s="8" t="n"/>
      <c r="AH45" s="8" t="n"/>
      <c r="AI45" s="8" t="n"/>
      <c r="AJ45" s="8">
        <f>IF(OR(AH45="",'Submission &amp; QC'!$C$18=""),"",IF(AND(ABS(AH45-'Submission &amp; QC'!$C$18)&lt;=0.0005*ABS('Submission &amp; QC'!$C$18),ABS(AI45-'Submission &amp; QC'!$C$19)&lt;=0.0005*ABS('Submission &amp; QC'!$C$19)),"Pass","Fail"))</f>
        <v/>
      </c>
      <c r="AK45" s="8" t="n"/>
      <c r="AL45" s="8" t="n"/>
    </row>
    <row r="46" ht="195" customHeight="1">
      <c r="A46" s="3" t="inlineStr">
        <is>
          <t>A045</t>
        </is>
      </c>
      <c r="B46" s="7" t="inlineStr">
        <is>
          <t>A</t>
        </is>
      </c>
      <c r="C46" s="3" t="n">
        <v>2</v>
      </c>
      <c r="D46" s="3" t="inlineStr">
        <is>
          <t>Install</t>
        </is>
      </c>
      <c r="E46" s="3" t="inlineStr">
        <is>
          <t>INST-Region-Deep-Large-Disp-Large</t>
        </is>
      </c>
      <c r="F46" s="3" t="inlineStr">
        <is>
          <t>Install large modules, dispersed, deep (60-100 m), Whole model area, large budget ($5-15 M)</t>
        </is>
      </c>
      <c r="G46" s="3" t="inlineStr">
        <is>
          <t>Whole model area</t>
        </is>
      </c>
      <c r="H46" s="3" t="inlineStr">
        <is>
          <t>Deep (60-100 m)</t>
        </is>
      </c>
      <c r="I46" s="3" t="inlineStr">
        <is>
          <t>Large module ($12,000; 20 m2; 6 m tall)</t>
        </is>
      </c>
      <c r="J46" s="3" t="inlineStr">
        <is>
          <t>Dispersed (no connectivity preference)</t>
        </is>
      </c>
      <c r="K46" s="3" t="inlineStr">
        <is>
          <t>Large: $5-15 M</t>
        </is>
      </c>
      <c r="L46" s="3" t="n"/>
      <c r="M46" s="3" t="n"/>
      <c r="N46" s="3" t="n"/>
      <c r="O46" s="3" t="n"/>
      <c r="P46" s="3" t="n"/>
      <c r="Q46" s="3" t="n"/>
      <c r="R46" s="3" t="inlineStr">
        <is>
          <t>Strategy &gt; Strategy: Install new structures
Installation &gt; Maximum budget per scenario (USD): 15,000,000
Installation &gt; Minimum budget per scenario (USD): 5,000,000
Installation &gt; How budgets are drawn: Uniform
Installation &gt; Min depth (m): 60
Installation &gt; Max depth (m): 100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1,045</t>
        </is>
      </c>
      <c r="S46" s="3" t="inlineStr">
        <is>
          <t>A045_INST-Region-Deep-Large-Disp-Large.json</t>
        </is>
      </c>
      <c r="T46" s="3" t="n">
        <v>100</v>
      </c>
      <c r="U46" s="3" t="n">
        <v>1045</v>
      </c>
      <c r="V46" s="3" t="n">
        <v>202</v>
      </c>
      <c r="W46" s="3" t="n"/>
      <c r="X46" s="3">
        <f>ROUND((T46+1)*'Read me'!$C$14/60,1)</f>
        <v/>
      </c>
      <c r="Y46" s="8" t="n"/>
      <c r="Z46" s="8" t="inlineStr">
        <is>
          <t>Not started</t>
        </is>
      </c>
      <c r="AA46" s="8" t="n"/>
      <c r="AB46" s="8" t="n"/>
      <c r="AC46" s="8" t="n"/>
      <c r="AD46" s="8" t="n"/>
      <c r="AE46" s="8" t="n"/>
      <c r="AF46" s="8" t="n"/>
      <c r="AG46" s="8" t="n"/>
      <c r="AH46" s="8" t="n"/>
      <c r="AI46" s="8" t="n"/>
      <c r="AJ46" s="8">
        <f>IF(OR(AH46="",'Submission &amp; QC'!$C$18=""),"",IF(AND(ABS(AH46-'Submission &amp; QC'!$C$18)&lt;=0.0005*ABS('Submission &amp; QC'!$C$18),ABS(AI46-'Submission &amp; QC'!$C$19)&lt;=0.0005*ABS('Submission &amp; QC'!$C$19)),"Pass","Fail"))</f>
        <v/>
      </c>
      <c r="AK46" s="8" t="n"/>
      <c r="AL46" s="8" t="n"/>
    </row>
    <row r="47" ht="210" customHeight="1">
      <c r="A47" s="3" t="inlineStr">
        <is>
          <t>A046</t>
        </is>
      </c>
      <c r="B47" s="7" t="inlineStr">
        <is>
          <t>A</t>
        </is>
      </c>
      <c r="C47" s="3" t="n">
        <v>2</v>
      </c>
      <c r="D47" s="3" t="inlineStr">
        <is>
          <t>Install</t>
        </is>
      </c>
      <c r="E47" s="3" t="inlineStr">
        <is>
          <t>INST-Region-Deep-Large-Clust-Small</t>
        </is>
      </c>
      <c r="F47" s="3" t="inlineStr">
        <is>
          <t>Install large modules, clustered, deep (60-100 m), Whole model area, small budget ($0.1-1 M)</t>
        </is>
      </c>
      <c r="G47" s="3" t="inlineStr">
        <is>
          <t>Whole model area</t>
        </is>
      </c>
      <c r="H47" s="3" t="inlineStr">
        <is>
          <t>Deep (60-100 m)</t>
        </is>
      </c>
      <c r="I47" s="3" t="inlineStr">
        <is>
          <t>Large module ($12,000; 20 m2; 6 m tall)</t>
        </is>
      </c>
      <c r="J47" s="3" t="inlineStr">
        <is>
          <t>Clustered (favour cells next to existing modules)</t>
        </is>
      </c>
      <c r="K47" s="3" t="inlineStr">
        <is>
          <t>Small: $0.1-1 M</t>
        </is>
      </c>
      <c r="L47" s="3" t="n"/>
      <c r="M47" s="3" t="n"/>
      <c r="N47" s="3" t="n"/>
      <c r="O47" s="3" t="n"/>
      <c r="P47" s="3" t="n"/>
      <c r="Q47" s="3" t="n"/>
      <c r="R47" s="3" t="inlineStr">
        <is>
          <t>Strategy &gt; Strategy: Install new structures
Installation &gt; Maximum budget per scenario (USD): 1,000,000
Installation &gt; Minimum budget per scenario (USD): 100,000
Installation &gt; How budgets are drawn: Uniform
Installation &gt; Min depth (m): 60
Installation &gt; Max depth (m): 100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1,046</t>
        </is>
      </c>
      <c r="S47" s="3" t="inlineStr">
        <is>
          <t>A046_INST-Region-Deep-Large-Clust-Small.json</t>
        </is>
      </c>
      <c r="T47" s="3" t="n">
        <v>100</v>
      </c>
      <c r="U47" s="3" t="n">
        <v>1046</v>
      </c>
      <c r="V47" s="3" t="n">
        <v>202</v>
      </c>
      <c r="W47" s="3" t="n"/>
      <c r="X47" s="3">
        <f>ROUND((T47+1)*'Read me'!$C$14/60,1)</f>
        <v/>
      </c>
      <c r="Y47" s="8" t="n"/>
      <c r="Z47" s="8" t="inlineStr">
        <is>
          <t>Not started</t>
        </is>
      </c>
      <c r="AA47" s="8" t="n"/>
      <c r="AB47" s="8" t="n"/>
      <c r="AC47" s="8" t="n"/>
      <c r="AD47" s="8" t="n"/>
      <c r="AE47" s="8" t="n"/>
      <c r="AF47" s="8" t="n"/>
      <c r="AG47" s="8" t="n"/>
      <c r="AH47" s="8" t="n"/>
      <c r="AI47" s="8" t="n"/>
      <c r="AJ47" s="8">
        <f>IF(OR(AH47="",'Submission &amp; QC'!$C$18=""),"",IF(AND(ABS(AH47-'Submission &amp; QC'!$C$18)&lt;=0.0005*ABS('Submission &amp; QC'!$C$18),ABS(AI47-'Submission &amp; QC'!$C$19)&lt;=0.0005*ABS('Submission &amp; QC'!$C$19)),"Pass","Fail"))</f>
        <v/>
      </c>
      <c r="AK47" s="8" t="n"/>
      <c r="AL47" s="8" t="n"/>
    </row>
    <row r="48" ht="210" customHeight="1">
      <c r="A48" s="3" t="inlineStr">
        <is>
          <t>A047</t>
        </is>
      </c>
      <c r="B48" s="7" t="inlineStr">
        <is>
          <t>A</t>
        </is>
      </c>
      <c r="C48" s="3" t="n">
        <v>2</v>
      </c>
      <c r="D48" s="3" t="inlineStr">
        <is>
          <t>Install</t>
        </is>
      </c>
      <c r="E48" s="3" t="inlineStr">
        <is>
          <t>INST-Region-Deep-Large-Clust-Medium</t>
        </is>
      </c>
      <c r="F48" s="3" t="inlineStr">
        <is>
          <t>Install large modules, clustered, deep (60-100 m), Whole model area, medium budget ($1-5 M)</t>
        </is>
      </c>
      <c r="G48" s="3" t="inlineStr">
        <is>
          <t>Whole model area</t>
        </is>
      </c>
      <c r="H48" s="3" t="inlineStr">
        <is>
          <t>Deep (60-100 m)</t>
        </is>
      </c>
      <c r="I48" s="3" t="inlineStr">
        <is>
          <t>Large module ($12,000; 20 m2; 6 m tall)</t>
        </is>
      </c>
      <c r="J48" s="3" t="inlineStr">
        <is>
          <t>Clustered (favour cells next to existing modules)</t>
        </is>
      </c>
      <c r="K48" s="3" t="inlineStr">
        <is>
          <t>Medium: $1-5 M</t>
        </is>
      </c>
      <c r="L48" s="3" t="n"/>
      <c r="M48" s="3" t="n"/>
      <c r="N48" s="3" t="n"/>
      <c r="O48" s="3" t="n"/>
      <c r="P48" s="3" t="n"/>
      <c r="Q48" s="3" t="n"/>
      <c r="R48" s="3" t="inlineStr">
        <is>
          <t>Strategy &gt; Strategy: Install new structures
Installation &gt; Maximum budget per scenario (USD): 5,000,000
Installation &gt; Minimum budget per scenario (USD): 1,000,000
Installation &gt; How budgets are drawn: Uniform
Installation &gt; Min depth (m): 60
Installation &gt; Max depth (m): 100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1,047</t>
        </is>
      </c>
      <c r="S48" s="3" t="inlineStr">
        <is>
          <t>A047_INST-Region-Deep-Large-Clust-Medium.json</t>
        </is>
      </c>
      <c r="T48" s="3" t="n">
        <v>100</v>
      </c>
      <c r="U48" s="3" t="n">
        <v>1047</v>
      </c>
      <c r="V48" s="3" t="n">
        <v>202</v>
      </c>
      <c r="W48" s="3" t="n"/>
      <c r="X48" s="3">
        <f>ROUND((T48+1)*'Read me'!$C$14/60,1)</f>
        <v/>
      </c>
      <c r="Y48" s="8" t="n"/>
      <c r="Z48" s="8" t="inlineStr">
        <is>
          <t>Not started</t>
        </is>
      </c>
      <c r="AA48" s="8" t="n"/>
      <c r="AB48" s="8" t="n"/>
      <c r="AC48" s="8" t="n"/>
      <c r="AD48" s="8" t="n"/>
      <c r="AE48" s="8" t="n"/>
      <c r="AF48" s="8" t="n"/>
      <c r="AG48" s="8" t="n"/>
      <c r="AH48" s="8" t="n"/>
      <c r="AI48" s="8" t="n"/>
      <c r="AJ48" s="8">
        <f>IF(OR(AH48="",'Submission &amp; QC'!$C$18=""),"",IF(AND(ABS(AH48-'Submission &amp; QC'!$C$18)&lt;=0.0005*ABS('Submission &amp; QC'!$C$18),ABS(AI48-'Submission &amp; QC'!$C$19)&lt;=0.0005*ABS('Submission &amp; QC'!$C$19)),"Pass","Fail"))</f>
        <v/>
      </c>
      <c r="AK48" s="8" t="n"/>
      <c r="AL48" s="8" t="n"/>
    </row>
    <row r="49" ht="210" customHeight="1">
      <c r="A49" s="3" t="inlineStr">
        <is>
          <t>A048</t>
        </is>
      </c>
      <c r="B49" s="7" t="inlineStr">
        <is>
          <t>A</t>
        </is>
      </c>
      <c r="C49" s="3" t="n">
        <v>2</v>
      </c>
      <c r="D49" s="3" t="inlineStr">
        <is>
          <t>Install</t>
        </is>
      </c>
      <c r="E49" s="3" t="inlineStr">
        <is>
          <t>INST-Region-Deep-Large-Clust-Large</t>
        </is>
      </c>
      <c r="F49" s="3" t="inlineStr">
        <is>
          <t>Install large modules, clustered, deep (60-100 m), Whole model area, large budget ($5-15 M)</t>
        </is>
      </c>
      <c r="G49" s="3" t="inlineStr">
        <is>
          <t>Whole model area</t>
        </is>
      </c>
      <c r="H49" s="3" t="inlineStr">
        <is>
          <t>Deep (60-100 m)</t>
        </is>
      </c>
      <c r="I49" s="3" t="inlineStr">
        <is>
          <t>Large module ($12,000; 20 m2; 6 m tall)</t>
        </is>
      </c>
      <c r="J49" s="3" t="inlineStr">
        <is>
          <t>Clustered (favour cells next to existing modules)</t>
        </is>
      </c>
      <c r="K49" s="3" t="inlineStr">
        <is>
          <t>Large: $5-15 M</t>
        </is>
      </c>
      <c r="L49" s="3" t="n"/>
      <c r="M49" s="3" t="n"/>
      <c r="N49" s="3" t="n"/>
      <c r="O49" s="3" t="n"/>
      <c r="P49" s="3" t="n"/>
      <c r="Q49" s="3" t="n"/>
      <c r="R49" s="3" t="inlineStr">
        <is>
          <t>Strategy &gt; Strategy: Install new structures
Installation &gt; Maximum budget per scenario (USD): 15,000,000
Installation &gt; Minimum budget per scenario (USD): 5,000,000
Installation &gt; How budgets are drawn: Uniform
Installation &gt; Min depth (m): 60
Installation &gt; Max depth (m): 100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1,048</t>
        </is>
      </c>
      <c r="S49" s="3" t="inlineStr">
        <is>
          <t>A048_INST-Region-Deep-Large-Clust-Large.json</t>
        </is>
      </c>
      <c r="T49" s="3" t="n">
        <v>100</v>
      </c>
      <c r="U49" s="3" t="n">
        <v>1048</v>
      </c>
      <c r="V49" s="3" t="n">
        <v>202</v>
      </c>
      <c r="W49" s="3" t="n"/>
      <c r="X49" s="3">
        <f>ROUND((T49+1)*'Read me'!$C$14/60,1)</f>
        <v/>
      </c>
      <c r="Y49" s="8" t="n"/>
      <c r="Z49" s="8" t="inlineStr">
        <is>
          <t>Not started</t>
        </is>
      </c>
      <c r="AA49" s="8" t="n"/>
      <c r="AB49" s="8" t="n"/>
      <c r="AC49" s="8" t="n"/>
      <c r="AD49" s="8" t="n"/>
      <c r="AE49" s="8" t="n"/>
      <c r="AF49" s="8" t="n"/>
      <c r="AG49" s="8" t="n"/>
      <c r="AH49" s="8" t="n"/>
      <c r="AI49" s="8" t="n"/>
      <c r="AJ49" s="8">
        <f>IF(OR(AH49="",'Submission &amp; QC'!$C$18=""),"",IF(AND(ABS(AH49-'Submission &amp; QC'!$C$18)&lt;=0.0005*ABS('Submission &amp; QC'!$C$18),ABS(AI49-'Submission &amp; QC'!$C$19)&lt;=0.0005*ABS('Submission &amp; QC'!$C$19)),"Pass","Fail"))</f>
        <v/>
      </c>
      <c r="AK49" s="8" t="n"/>
      <c r="AL49" s="8" t="n"/>
    </row>
    <row r="50" ht="135" customHeight="1">
      <c r="A50" s="3" t="inlineStr">
        <is>
          <t>A049</t>
        </is>
      </c>
      <c r="B50" s="7" t="inlineStr">
        <is>
          <t>A</t>
        </is>
      </c>
      <c r="C50" s="3" t="n">
        <v>2</v>
      </c>
      <c r="D50" s="3" t="inlineStr">
        <is>
          <t>Install</t>
        </is>
      </c>
      <c r="E50" s="3" t="inlineStr">
        <is>
          <t>INST-AL-Any-Std-Disp-Small</t>
        </is>
      </c>
      <c r="F50" s="3" t="inlineStr">
        <is>
          <t>Install standard prefab modules, dispersed, any eligible depth (10-100 m), Alabama (west of the Perdido River), small budget ($0.1-1 M)</t>
        </is>
      </c>
      <c r="G50" s="3" t="inlineStr">
        <is>
          <t>Alabama (west of the Perdido River)</t>
        </is>
      </c>
      <c r="H50" s="3" t="inlineStr">
        <is>
          <t>Any eligible depth (10-100 m)</t>
        </is>
      </c>
      <c r="I50" s="3" t="inlineStr">
        <is>
          <t>Standard prefab module ($2,500; 6 m2; 3 m tall)</t>
        </is>
      </c>
      <c r="J50" s="3" t="inlineStr">
        <is>
          <t>Dispersed (no connectivity preference)</t>
        </is>
      </c>
      <c r="K50" s="3" t="inlineStr">
        <is>
          <t>Small: $0.1-1 M</t>
        </is>
      </c>
      <c r="L50" s="3" t="n"/>
      <c r="M50" s="3" t="n"/>
      <c r="N50" s="3" t="n"/>
      <c r="O50" s="3" t="n"/>
      <c r="P50" s="3" t="n"/>
      <c r="Q50" s="3" t="n"/>
      <c r="R50" s="3" t="inlineStr">
        <is>
          <t>Strategy &gt; Strategy: Install new structures
Installation &gt; Maximum budget per scenario (USD): 1,000,000
Installation &gt; Minimum budget per scenario (USD): 100,000
Installation &gt; How budgets are drawn: Uniform
Installation &gt; East lon: -87.51
Installation &gt; Favour cells next to existing modules: unticked
Live solver / Search &gt; Number of scenarios to run: 100
Search &gt; Search algorithm: Random search
Search &gt; Random seed: 1,049</t>
        </is>
      </c>
      <c r="S50" s="3" t="inlineStr">
        <is>
          <t>A049_INST-AL-Any-Std-Disp-Small.json</t>
        </is>
      </c>
      <c r="T50" s="3" t="n">
        <v>100</v>
      </c>
      <c r="U50" s="3" t="n">
        <v>1049</v>
      </c>
      <c r="V50" s="3" t="n">
        <v>416</v>
      </c>
      <c r="W50" s="3" t="n"/>
      <c r="X50" s="3">
        <f>ROUND((T50+1)*'Read me'!$C$14/60,1)</f>
        <v/>
      </c>
      <c r="Y50" s="8" t="n"/>
      <c r="Z50" s="8" t="inlineStr">
        <is>
          <t>Not started</t>
        </is>
      </c>
      <c r="AA50" s="8" t="n"/>
      <c r="AB50" s="8" t="n"/>
      <c r="AC50" s="8" t="n"/>
      <c r="AD50" s="8" t="n"/>
      <c r="AE50" s="8" t="n"/>
      <c r="AF50" s="8" t="n"/>
      <c r="AG50" s="8" t="n"/>
      <c r="AH50" s="8" t="n"/>
      <c r="AI50" s="8" t="n"/>
      <c r="AJ50" s="8">
        <f>IF(OR(AH50="",'Submission &amp; QC'!$C$18=""),"",IF(AND(ABS(AH50-'Submission &amp; QC'!$C$18)&lt;=0.0005*ABS('Submission &amp; QC'!$C$18),ABS(AI50-'Submission &amp; QC'!$C$19)&lt;=0.0005*ABS('Submission &amp; QC'!$C$19)),"Pass","Fail"))</f>
        <v/>
      </c>
      <c r="AK50" s="8" t="n"/>
      <c r="AL50" s="8" t="n"/>
    </row>
    <row r="51" ht="135" customHeight="1">
      <c r="A51" s="3" t="inlineStr">
        <is>
          <t>A050</t>
        </is>
      </c>
      <c r="B51" s="7" t="inlineStr">
        <is>
          <t>A</t>
        </is>
      </c>
      <c r="C51" s="3" t="n">
        <v>2</v>
      </c>
      <c r="D51" s="3" t="inlineStr">
        <is>
          <t>Install</t>
        </is>
      </c>
      <c r="E51" s="3" t="inlineStr">
        <is>
          <t>INST-AL-Any-Std-Disp-Medium</t>
        </is>
      </c>
      <c r="F51" s="3" t="inlineStr">
        <is>
          <t>Install standard prefab modules, dispersed, any eligible depth (10-100 m), Alabama (west of the Perdido River), medium budget ($1-5 M)</t>
        </is>
      </c>
      <c r="G51" s="3" t="inlineStr">
        <is>
          <t>Alabama (west of the Perdido River)</t>
        </is>
      </c>
      <c r="H51" s="3" t="inlineStr">
        <is>
          <t>Any eligible depth (10-100 m)</t>
        </is>
      </c>
      <c r="I51" s="3" t="inlineStr">
        <is>
          <t>Standard prefab module ($2,500; 6 m2; 3 m tall)</t>
        </is>
      </c>
      <c r="J51" s="3" t="inlineStr">
        <is>
          <t>Dispersed (no connectivity preference)</t>
        </is>
      </c>
      <c r="K51" s="3" t="inlineStr">
        <is>
          <t>Medium: $1-5 M</t>
        </is>
      </c>
      <c r="L51" s="3" t="n"/>
      <c r="M51" s="3" t="n"/>
      <c r="N51" s="3" t="n"/>
      <c r="O51" s="3" t="n"/>
      <c r="P51" s="3" t="n"/>
      <c r="Q51" s="3" t="n"/>
      <c r="R51" s="3" t="inlineStr">
        <is>
          <t>Strategy &gt; Strategy: Install new structures
Installation &gt; Maximum budget per scenario (USD): 5,000,000
Installation &gt; Minimum budget per scenario (USD): 1,000,000
Installation &gt; How budgets are drawn: Uniform
Installation &gt; East lon: -87.51
Installation &gt; Favour cells next to existing modules: unticked
Live solver / Search &gt; Number of scenarios to run: 100
Search &gt; Search algorithm: Random search
Search &gt; Random seed: 1,050</t>
        </is>
      </c>
      <c r="S51" s="3" t="inlineStr">
        <is>
          <t>A050_INST-AL-Any-Std-Disp-Medium.json</t>
        </is>
      </c>
      <c r="T51" s="3" t="n">
        <v>100</v>
      </c>
      <c r="U51" s="3" t="n">
        <v>1050</v>
      </c>
      <c r="V51" s="3" t="n">
        <v>416</v>
      </c>
      <c r="W51" s="3" t="n"/>
      <c r="X51" s="3">
        <f>ROUND((T51+1)*'Read me'!$C$14/60,1)</f>
        <v/>
      </c>
      <c r="Y51" s="8" t="n"/>
      <c r="Z51" s="8" t="inlineStr">
        <is>
          <t>Not started</t>
        </is>
      </c>
      <c r="AA51" s="8" t="n"/>
      <c r="AB51" s="8" t="n"/>
      <c r="AC51" s="8" t="n"/>
      <c r="AD51" s="8" t="n"/>
      <c r="AE51" s="8" t="n"/>
      <c r="AF51" s="8" t="n"/>
      <c r="AG51" s="8" t="n"/>
      <c r="AH51" s="8" t="n"/>
      <c r="AI51" s="8" t="n"/>
      <c r="AJ51" s="8">
        <f>IF(OR(AH51="",'Submission &amp; QC'!$C$18=""),"",IF(AND(ABS(AH51-'Submission &amp; QC'!$C$18)&lt;=0.0005*ABS('Submission &amp; QC'!$C$18),ABS(AI51-'Submission &amp; QC'!$C$19)&lt;=0.0005*ABS('Submission &amp; QC'!$C$19)),"Pass","Fail"))</f>
        <v/>
      </c>
      <c r="AK51" s="8" t="n"/>
      <c r="AL51" s="8" t="n"/>
    </row>
    <row r="52" ht="135" customHeight="1">
      <c r="A52" s="3" t="inlineStr">
        <is>
          <t>A051</t>
        </is>
      </c>
      <c r="B52" s="7" t="inlineStr">
        <is>
          <t>A</t>
        </is>
      </c>
      <c r="C52" s="3" t="n">
        <v>2</v>
      </c>
      <c r="D52" s="3" t="inlineStr">
        <is>
          <t>Install</t>
        </is>
      </c>
      <c r="E52" s="3" t="inlineStr">
        <is>
          <t>INST-AL-Any-Std-Disp-Large</t>
        </is>
      </c>
      <c r="F52" s="3" t="inlineStr">
        <is>
          <t>Install standard prefab modules, dispersed, any eligible depth (10-100 m), Alabama (west of the Perdido River), large budget ($5-15 M)</t>
        </is>
      </c>
      <c r="G52" s="3" t="inlineStr">
        <is>
          <t>Alabama (west of the Perdido River)</t>
        </is>
      </c>
      <c r="H52" s="3" t="inlineStr">
        <is>
          <t>Any eligible depth (10-100 m)</t>
        </is>
      </c>
      <c r="I52" s="3" t="inlineStr">
        <is>
          <t>Standard prefab module ($2,500; 6 m2; 3 m tall)</t>
        </is>
      </c>
      <c r="J52" s="3" t="inlineStr">
        <is>
          <t>Dispersed (no connectivity preference)</t>
        </is>
      </c>
      <c r="K52" s="3" t="inlineStr">
        <is>
          <t>Large: $5-15 M</t>
        </is>
      </c>
      <c r="L52" s="3" t="n"/>
      <c r="M52" s="3" t="n"/>
      <c r="N52" s="3" t="n"/>
      <c r="O52" s="3" t="n"/>
      <c r="P52" s="3" t="n"/>
      <c r="Q52" s="3" t="n"/>
      <c r="R52" s="3" t="inlineStr">
        <is>
          <t>Strategy &gt; Strategy: Install new structures
Installation &gt; Maximum budget per scenario (USD): 15,000,000
Installation &gt; Minimum budget per scenario (USD): 5,000,000
Installation &gt; How budgets are drawn: Uniform
Installation &gt; East lon: -87.51
Installation &gt; Favour cells next to existing modules: unticked
Live solver / Search &gt; Number of scenarios to run: 100
Search &gt; Search algorithm: Random search
Search &gt; Random seed: 1,051</t>
        </is>
      </c>
      <c r="S52" s="3" t="inlineStr">
        <is>
          <t>A051_INST-AL-Any-Std-Disp-Large.json</t>
        </is>
      </c>
      <c r="T52" s="3" t="n">
        <v>100</v>
      </c>
      <c r="U52" s="3" t="n">
        <v>1051</v>
      </c>
      <c r="V52" s="3" t="n">
        <v>416</v>
      </c>
      <c r="W52" s="3" t="n"/>
      <c r="X52" s="3">
        <f>ROUND((T52+1)*'Read me'!$C$14/60,1)</f>
        <v/>
      </c>
      <c r="Y52" s="8" t="n"/>
      <c r="Z52" s="8" t="inlineStr">
        <is>
          <t>Not started</t>
        </is>
      </c>
      <c r="AA52" s="8" t="n"/>
      <c r="AB52" s="8" t="n"/>
      <c r="AC52" s="8" t="n"/>
      <c r="AD52" s="8" t="n"/>
      <c r="AE52" s="8" t="n"/>
      <c r="AF52" s="8" t="n"/>
      <c r="AG52" s="8" t="n"/>
      <c r="AH52" s="8" t="n"/>
      <c r="AI52" s="8" t="n"/>
      <c r="AJ52" s="8">
        <f>IF(OR(AH52="",'Submission &amp; QC'!$C$18=""),"",IF(AND(ABS(AH52-'Submission &amp; QC'!$C$18)&lt;=0.0005*ABS('Submission &amp; QC'!$C$18),ABS(AI52-'Submission &amp; QC'!$C$19)&lt;=0.0005*ABS('Submission &amp; QC'!$C$19)),"Pass","Fail"))</f>
        <v/>
      </c>
      <c r="AK52" s="8" t="n"/>
      <c r="AL52" s="8" t="n"/>
    </row>
    <row r="53" ht="150" customHeight="1">
      <c r="A53" s="3" t="inlineStr">
        <is>
          <t>A052</t>
        </is>
      </c>
      <c r="B53" s="7" t="inlineStr">
        <is>
          <t>A</t>
        </is>
      </c>
      <c r="C53" s="3" t="n">
        <v>2</v>
      </c>
      <c r="D53" s="3" t="inlineStr">
        <is>
          <t>Install</t>
        </is>
      </c>
      <c r="E53" s="3" t="inlineStr">
        <is>
          <t>INST-AL-Any-Std-Clust-Small</t>
        </is>
      </c>
      <c r="F53" s="3" t="inlineStr">
        <is>
          <t>Install standard prefab modules, clustered, any eligible depth (10-100 m), Alabama (west of the Perdido River), small budget ($0.1-1 M)</t>
        </is>
      </c>
      <c r="G53" s="3" t="inlineStr">
        <is>
          <t>Alabama (west of the Perdido River)</t>
        </is>
      </c>
      <c r="H53" s="3" t="inlineStr">
        <is>
          <t>Any eligible depth (10-100 m)</t>
        </is>
      </c>
      <c r="I53" s="3" t="inlineStr">
        <is>
          <t>Standard prefab module ($2,500; 6 m2; 3 m tall)</t>
        </is>
      </c>
      <c r="J53" s="3" t="inlineStr">
        <is>
          <t>Clustered (favour cells next to existing modules)</t>
        </is>
      </c>
      <c r="K53" s="3" t="inlineStr">
        <is>
          <t>Small: $0.1-1 M</t>
        </is>
      </c>
      <c r="L53" s="3" t="n"/>
      <c r="M53" s="3" t="n"/>
      <c r="N53" s="3" t="n"/>
      <c r="O53" s="3" t="n"/>
      <c r="P53" s="3" t="n"/>
      <c r="Q53" s="3" t="n"/>
      <c r="R53" s="3" t="inlineStr">
        <is>
          <t>Strategy &gt; Strategy: Install new structures
Installation &gt; Maximum budget per scenario (USD): 1,000,000
Installation &gt; Minimum budget per scenario (USD): 100,000
Installation &gt; How budgets are drawn: Uniform
Installation &gt; East lon: -87.51
Installation &gt; Favour cells next to existing modules: ticked
Installation &gt; Connectivity bonus: 10
Live solver / Search &gt; Number of scenarios to run: 100
Search &gt; Search algorithm: Random search
Search &gt; Random seed: 1,052</t>
        </is>
      </c>
      <c r="S53" s="3" t="inlineStr">
        <is>
          <t>A052_INST-AL-Any-Std-Clust-Small.json</t>
        </is>
      </c>
      <c r="T53" s="3" t="n">
        <v>100</v>
      </c>
      <c r="U53" s="3" t="n">
        <v>1052</v>
      </c>
      <c r="V53" s="3" t="n">
        <v>416</v>
      </c>
      <c r="W53" s="3" t="n"/>
      <c r="X53" s="3">
        <f>ROUND((T53+1)*'Read me'!$C$14/60,1)</f>
        <v/>
      </c>
      <c r="Y53" s="8" t="n"/>
      <c r="Z53" s="8" t="inlineStr">
        <is>
          <t>Not started</t>
        </is>
      </c>
      <c r="AA53" s="8" t="n"/>
      <c r="AB53" s="8" t="n"/>
      <c r="AC53" s="8" t="n"/>
      <c r="AD53" s="8" t="n"/>
      <c r="AE53" s="8" t="n"/>
      <c r="AF53" s="8" t="n"/>
      <c r="AG53" s="8" t="n"/>
      <c r="AH53" s="8" t="n"/>
      <c r="AI53" s="8" t="n"/>
      <c r="AJ53" s="8">
        <f>IF(OR(AH53="",'Submission &amp; QC'!$C$18=""),"",IF(AND(ABS(AH53-'Submission &amp; QC'!$C$18)&lt;=0.0005*ABS('Submission &amp; QC'!$C$18),ABS(AI53-'Submission &amp; QC'!$C$19)&lt;=0.0005*ABS('Submission &amp; QC'!$C$19)),"Pass","Fail"))</f>
        <v/>
      </c>
      <c r="AK53" s="8" t="n"/>
      <c r="AL53" s="8" t="n"/>
    </row>
    <row r="54" ht="150" customHeight="1">
      <c r="A54" s="3" t="inlineStr">
        <is>
          <t>A053</t>
        </is>
      </c>
      <c r="B54" s="7" t="inlineStr">
        <is>
          <t>A</t>
        </is>
      </c>
      <c r="C54" s="3" t="n">
        <v>2</v>
      </c>
      <c r="D54" s="3" t="inlineStr">
        <is>
          <t>Install</t>
        </is>
      </c>
      <c r="E54" s="3" t="inlineStr">
        <is>
          <t>INST-AL-Any-Std-Clust-Medium</t>
        </is>
      </c>
      <c r="F54" s="3" t="inlineStr">
        <is>
          <t>Install standard prefab modules, clustered, any eligible depth (10-100 m), Alabama (west of the Perdido River), medium budget ($1-5 M)</t>
        </is>
      </c>
      <c r="G54" s="3" t="inlineStr">
        <is>
          <t>Alabama (west of the Perdido River)</t>
        </is>
      </c>
      <c r="H54" s="3" t="inlineStr">
        <is>
          <t>Any eligible depth (10-100 m)</t>
        </is>
      </c>
      <c r="I54" s="3" t="inlineStr">
        <is>
          <t>Standard prefab module ($2,500; 6 m2; 3 m tall)</t>
        </is>
      </c>
      <c r="J54" s="3" t="inlineStr">
        <is>
          <t>Clustered (favour cells next to existing modules)</t>
        </is>
      </c>
      <c r="K54" s="3" t="inlineStr">
        <is>
          <t>Medium: $1-5 M</t>
        </is>
      </c>
      <c r="L54" s="3" t="n"/>
      <c r="M54" s="3" t="n"/>
      <c r="N54" s="3" t="n"/>
      <c r="O54" s="3" t="n"/>
      <c r="P54" s="3" t="n"/>
      <c r="Q54" s="3" t="n"/>
      <c r="R54" s="3" t="inlineStr">
        <is>
          <t>Strategy &gt; Strategy: Install new structures
Installation &gt; Maximum budget per scenario (USD): 5,000,000
Installation &gt; Minimum budget per scenario (USD): 1,000,000
Installation &gt; How budgets are drawn: Uniform
Installation &gt; East lon: -87.51
Installation &gt; Favour cells next to existing modules: ticked
Installation &gt; Connectivity bonus: 10
Live solver / Search &gt; Number of scenarios to run: 100
Search &gt; Search algorithm: Random search
Search &gt; Random seed: 1,053</t>
        </is>
      </c>
      <c r="S54" s="3" t="inlineStr">
        <is>
          <t>A053_INST-AL-Any-Std-Clust-Medium.json</t>
        </is>
      </c>
      <c r="T54" s="3" t="n">
        <v>100</v>
      </c>
      <c r="U54" s="3" t="n">
        <v>1053</v>
      </c>
      <c r="V54" s="3" t="n">
        <v>416</v>
      </c>
      <c r="W54" s="3" t="n"/>
      <c r="X54" s="3">
        <f>ROUND((T54+1)*'Read me'!$C$14/60,1)</f>
        <v/>
      </c>
      <c r="Y54" s="8" t="n"/>
      <c r="Z54" s="8" t="inlineStr">
        <is>
          <t>Not started</t>
        </is>
      </c>
      <c r="AA54" s="8" t="n"/>
      <c r="AB54" s="8" t="n"/>
      <c r="AC54" s="8" t="n"/>
      <c r="AD54" s="8" t="n"/>
      <c r="AE54" s="8" t="n"/>
      <c r="AF54" s="8" t="n"/>
      <c r="AG54" s="8" t="n"/>
      <c r="AH54" s="8" t="n"/>
      <c r="AI54" s="8" t="n"/>
      <c r="AJ54" s="8">
        <f>IF(OR(AH54="",'Submission &amp; QC'!$C$18=""),"",IF(AND(ABS(AH54-'Submission &amp; QC'!$C$18)&lt;=0.0005*ABS('Submission &amp; QC'!$C$18),ABS(AI54-'Submission &amp; QC'!$C$19)&lt;=0.0005*ABS('Submission &amp; QC'!$C$19)),"Pass","Fail"))</f>
        <v/>
      </c>
      <c r="AK54" s="8" t="n"/>
      <c r="AL54" s="8" t="n"/>
    </row>
    <row r="55" ht="150" customHeight="1">
      <c r="A55" s="3" t="inlineStr">
        <is>
          <t>A054</t>
        </is>
      </c>
      <c r="B55" s="7" t="inlineStr">
        <is>
          <t>A</t>
        </is>
      </c>
      <c r="C55" s="3" t="n">
        <v>2</v>
      </c>
      <c r="D55" s="3" t="inlineStr">
        <is>
          <t>Install</t>
        </is>
      </c>
      <c r="E55" s="3" t="inlineStr">
        <is>
          <t>INST-AL-Any-Std-Clust-Large</t>
        </is>
      </c>
      <c r="F55" s="3" t="inlineStr">
        <is>
          <t>Install standard prefab modules, clustered, any eligible depth (10-100 m), Alabama (west of the Perdido River), large budget ($5-15 M)</t>
        </is>
      </c>
      <c r="G55" s="3" t="inlineStr">
        <is>
          <t>Alabama (west of the Perdido River)</t>
        </is>
      </c>
      <c r="H55" s="3" t="inlineStr">
        <is>
          <t>Any eligible depth (10-100 m)</t>
        </is>
      </c>
      <c r="I55" s="3" t="inlineStr">
        <is>
          <t>Standard prefab module ($2,500; 6 m2; 3 m tall)</t>
        </is>
      </c>
      <c r="J55" s="3" t="inlineStr">
        <is>
          <t>Clustered (favour cells next to existing modules)</t>
        </is>
      </c>
      <c r="K55" s="3" t="inlineStr">
        <is>
          <t>Large: $5-15 M</t>
        </is>
      </c>
      <c r="L55" s="3" t="n"/>
      <c r="M55" s="3" t="n"/>
      <c r="N55" s="3" t="n"/>
      <c r="O55" s="3" t="n"/>
      <c r="P55" s="3" t="n"/>
      <c r="Q55" s="3" t="n"/>
      <c r="R55" s="3" t="inlineStr">
        <is>
          <t>Strategy &gt; Strategy: Install new structures
Installation &gt; Maximum budget per scenario (USD): 15,000,000
Installation &gt; Minimum budget per scenario (USD): 5,000,000
Installation &gt; How budgets are drawn: Uniform
Installation &gt; East lon: -87.51
Installation &gt; Favour cells next to existing modules: ticked
Installation &gt; Connectivity bonus: 10
Live solver / Search &gt; Number of scenarios to run: 100
Search &gt; Search algorithm: Random search
Search &gt; Random seed: 1,054</t>
        </is>
      </c>
      <c r="S55" s="3" t="inlineStr">
        <is>
          <t>A054_INST-AL-Any-Std-Clust-Large.json</t>
        </is>
      </c>
      <c r="T55" s="3" t="n">
        <v>100</v>
      </c>
      <c r="U55" s="3" t="n">
        <v>1054</v>
      </c>
      <c r="V55" s="3" t="n">
        <v>416</v>
      </c>
      <c r="W55" s="3" t="n"/>
      <c r="X55" s="3">
        <f>ROUND((T55+1)*'Read me'!$C$14/60,1)</f>
        <v/>
      </c>
      <c r="Y55" s="8" t="n"/>
      <c r="Z55" s="8" t="inlineStr">
        <is>
          <t>Not started</t>
        </is>
      </c>
      <c r="AA55" s="8" t="n"/>
      <c r="AB55" s="8" t="n"/>
      <c r="AC55" s="8" t="n"/>
      <c r="AD55" s="8" t="n"/>
      <c r="AE55" s="8" t="n"/>
      <c r="AF55" s="8" t="n"/>
      <c r="AG55" s="8" t="n"/>
      <c r="AH55" s="8" t="n"/>
      <c r="AI55" s="8" t="n"/>
      <c r="AJ55" s="8">
        <f>IF(OR(AH55="",'Submission &amp; QC'!$C$18=""),"",IF(AND(ABS(AH55-'Submission &amp; QC'!$C$18)&lt;=0.0005*ABS('Submission &amp; QC'!$C$18),ABS(AI55-'Submission &amp; QC'!$C$19)&lt;=0.0005*ABS('Submission &amp; QC'!$C$19)),"Pass","Fail"))</f>
        <v/>
      </c>
      <c r="AK55" s="8" t="n"/>
      <c r="AL55" s="8" t="n"/>
    </row>
    <row r="56" ht="180" customHeight="1">
      <c r="A56" s="3" t="inlineStr">
        <is>
          <t>A055</t>
        </is>
      </c>
      <c r="B56" s="7" t="inlineStr">
        <is>
          <t>A</t>
        </is>
      </c>
      <c r="C56" s="3" t="n">
        <v>3</v>
      </c>
      <c r="D56" s="3" t="inlineStr">
        <is>
          <t>Install</t>
        </is>
      </c>
      <c r="E56" s="3" t="inlineStr">
        <is>
          <t>INST-AL-Any-Large-Disp-Small</t>
        </is>
      </c>
      <c r="F56" s="3" t="inlineStr">
        <is>
          <t>Install large modules, dispersed, any eligible depth (10-100 m), Alabama (west of the Perdido River), small budget ($0.1-1 M)</t>
        </is>
      </c>
      <c r="G56" s="3" t="inlineStr">
        <is>
          <t>Alabama (west of the Perdido River)</t>
        </is>
      </c>
      <c r="H56" s="3" t="inlineStr">
        <is>
          <t>Any eligible depth (10-100 m)</t>
        </is>
      </c>
      <c r="I56" s="3" t="inlineStr">
        <is>
          <t>Large module ($12,000; 20 m2; 6 m tall)</t>
        </is>
      </c>
      <c r="J56" s="3" t="inlineStr">
        <is>
          <t>Dispersed (no connectivity preference)</t>
        </is>
      </c>
      <c r="K56" s="3" t="inlineStr">
        <is>
          <t>Small: $0.1-1 M</t>
        </is>
      </c>
      <c r="L56" s="3" t="n"/>
      <c r="M56" s="3" t="n"/>
      <c r="N56" s="3" t="n"/>
      <c r="O56" s="3" t="n"/>
      <c r="P56" s="3" t="n"/>
      <c r="Q56" s="3" t="n"/>
      <c r="R56" s="3" t="inlineStr">
        <is>
          <t>Strategy &gt; Strategy: Install new structures
Installation &gt; Maximum budget per scenario (USD): 1,000,000
Installation &gt; Minimum budget per scenario (USD): 100,000
Installation &gt; How budgets are drawn: Uniform
Installation &gt; East lon: -87.51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1,055</t>
        </is>
      </c>
      <c r="S56" s="3" t="inlineStr">
        <is>
          <t>A055_INST-AL-Any-Large-Disp-Small.json</t>
        </is>
      </c>
      <c r="T56" s="3" t="n">
        <v>100</v>
      </c>
      <c r="U56" s="3" t="n">
        <v>1055</v>
      </c>
      <c r="V56" s="3" t="n">
        <v>416</v>
      </c>
      <c r="W56" s="3" t="n"/>
      <c r="X56" s="3">
        <f>ROUND((T56+1)*'Read me'!$C$14/60,1)</f>
        <v/>
      </c>
      <c r="Y56" s="8" t="n"/>
      <c r="Z56" s="8" t="inlineStr">
        <is>
          <t>Not started</t>
        </is>
      </c>
      <c r="AA56" s="8" t="n"/>
      <c r="AB56" s="8" t="n"/>
      <c r="AC56" s="8" t="n"/>
      <c r="AD56" s="8" t="n"/>
      <c r="AE56" s="8" t="n"/>
      <c r="AF56" s="8" t="n"/>
      <c r="AG56" s="8" t="n"/>
      <c r="AH56" s="8" t="n"/>
      <c r="AI56" s="8" t="n"/>
      <c r="AJ56" s="8">
        <f>IF(OR(AH56="",'Submission &amp; QC'!$C$18=""),"",IF(AND(ABS(AH56-'Submission &amp; QC'!$C$18)&lt;=0.0005*ABS('Submission &amp; QC'!$C$18),ABS(AI56-'Submission &amp; QC'!$C$19)&lt;=0.0005*ABS('Submission &amp; QC'!$C$19)),"Pass","Fail"))</f>
        <v/>
      </c>
      <c r="AK56" s="8" t="n"/>
      <c r="AL56" s="8" t="n"/>
    </row>
    <row r="57" ht="180" customHeight="1">
      <c r="A57" s="3" t="inlineStr">
        <is>
          <t>A056</t>
        </is>
      </c>
      <c r="B57" s="7" t="inlineStr">
        <is>
          <t>A</t>
        </is>
      </c>
      <c r="C57" s="3" t="n">
        <v>3</v>
      </c>
      <c r="D57" s="3" t="inlineStr">
        <is>
          <t>Install</t>
        </is>
      </c>
      <c r="E57" s="3" t="inlineStr">
        <is>
          <t>INST-AL-Any-Large-Disp-Medium</t>
        </is>
      </c>
      <c r="F57" s="3" t="inlineStr">
        <is>
          <t>Install large modules, dispersed, any eligible depth (10-100 m), Alabama (west of the Perdido River), medium budget ($1-5 M)</t>
        </is>
      </c>
      <c r="G57" s="3" t="inlineStr">
        <is>
          <t>Alabama (west of the Perdido River)</t>
        </is>
      </c>
      <c r="H57" s="3" t="inlineStr">
        <is>
          <t>Any eligible depth (10-100 m)</t>
        </is>
      </c>
      <c r="I57" s="3" t="inlineStr">
        <is>
          <t>Large module ($12,000; 20 m2; 6 m tall)</t>
        </is>
      </c>
      <c r="J57" s="3" t="inlineStr">
        <is>
          <t>Dispersed (no connectivity preference)</t>
        </is>
      </c>
      <c r="K57" s="3" t="inlineStr">
        <is>
          <t>Medium: $1-5 M</t>
        </is>
      </c>
      <c r="L57" s="3" t="n"/>
      <c r="M57" s="3" t="n"/>
      <c r="N57" s="3" t="n"/>
      <c r="O57" s="3" t="n"/>
      <c r="P57" s="3" t="n"/>
      <c r="Q57" s="3" t="n"/>
      <c r="R57" s="3" t="inlineStr">
        <is>
          <t>Strategy &gt; Strategy: Install new structures
Installation &gt; Maximum budget per scenario (USD): 5,000,000
Installation &gt; Minimum budget per scenario (USD): 1,000,000
Installation &gt; How budgets are drawn: Uniform
Installation &gt; East lon: -87.51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1,056</t>
        </is>
      </c>
      <c r="S57" s="3" t="inlineStr">
        <is>
          <t>A056_INST-AL-Any-Large-Disp-Medium.json</t>
        </is>
      </c>
      <c r="T57" s="3" t="n">
        <v>100</v>
      </c>
      <c r="U57" s="3" t="n">
        <v>1056</v>
      </c>
      <c r="V57" s="3" t="n">
        <v>416</v>
      </c>
      <c r="W57" s="3" t="n"/>
      <c r="X57" s="3">
        <f>ROUND((T57+1)*'Read me'!$C$14/60,1)</f>
        <v/>
      </c>
      <c r="Y57" s="8" t="n"/>
      <c r="Z57" s="8" t="inlineStr">
        <is>
          <t>Not started</t>
        </is>
      </c>
      <c r="AA57" s="8" t="n"/>
      <c r="AB57" s="8" t="n"/>
      <c r="AC57" s="8" t="n"/>
      <c r="AD57" s="8" t="n"/>
      <c r="AE57" s="8" t="n"/>
      <c r="AF57" s="8" t="n"/>
      <c r="AG57" s="8" t="n"/>
      <c r="AH57" s="8" t="n"/>
      <c r="AI57" s="8" t="n"/>
      <c r="AJ57" s="8">
        <f>IF(OR(AH57="",'Submission &amp; QC'!$C$18=""),"",IF(AND(ABS(AH57-'Submission &amp; QC'!$C$18)&lt;=0.0005*ABS('Submission &amp; QC'!$C$18),ABS(AI57-'Submission &amp; QC'!$C$19)&lt;=0.0005*ABS('Submission &amp; QC'!$C$19)),"Pass","Fail"))</f>
        <v/>
      </c>
      <c r="AK57" s="8" t="n"/>
      <c r="AL57" s="8" t="n"/>
    </row>
    <row r="58" ht="180" customHeight="1">
      <c r="A58" s="3" t="inlineStr">
        <is>
          <t>A057</t>
        </is>
      </c>
      <c r="B58" s="7" t="inlineStr">
        <is>
          <t>A</t>
        </is>
      </c>
      <c r="C58" s="3" t="n">
        <v>3</v>
      </c>
      <c r="D58" s="3" t="inlineStr">
        <is>
          <t>Install</t>
        </is>
      </c>
      <c r="E58" s="3" t="inlineStr">
        <is>
          <t>INST-AL-Any-Large-Disp-Large</t>
        </is>
      </c>
      <c r="F58" s="3" t="inlineStr">
        <is>
          <t>Install large modules, dispersed, any eligible depth (10-100 m), Alabama (west of the Perdido River), large budget ($5-15 M)</t>
        </is>
      </c>
      <c r="G58" s="3" t="inlineStr">
        <is>
          <t>Alabama (west of the Perdido River)</t>
        </is>
      </c>
      <c r="H58" s="3" t="inlineStr">
        <is>
          <t>Any eligible depth (10-100 m)</t>
        </is>
      </c>
      <c r="I58" s="3" t="inlineStr">
        <is>
          <t>Large module ($12,000; 20 m2; 6 m tall)</t>
        </is>
      </c>
      <c r="J58" s="3" t="inlineStr">
        <is>
          <t>Dispersed (no connectivity preference)</t>
        </is>
      </c>
      <c r="K58" s="3" t="inlineStr">
        <is>
          <t>Large: $5-15 M</t>
        </is>
      </c>
      <c r="L58" s="3" t="n"/>
      <c r="M58" s="3" t="n"/>
      <c r="N58" s="3" t="n"/>
      <c r="O58" s="3" t="n"/>
      <c r="P58" s="3" t="n"/>
      <c r="Q58" s="3" t="n"/>
      <c r="R58" s="3" t="inlineStr">
        <is>
          <t>Strategy &gt; Strategy: Install new structures
Installation &gt; Maximum budget per scenario (USD): 15,000,000
Installation &gt; Minimum budget per scenario (USD): 5,000,000
Installation &gt; How budgets are drawn: Uniform
Installation &gt; East lon: -87.51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1,057</t>
        </is>
      </c>
      <c r="S58" s="3" t="inlineStr">
        <is>
          <t>A057_INST-AL-Any-Large-Disp-Large.json</t>
        </is>
      </c>
      <c r="T58" s="3" t="n">
        <v>100</v>
      </c>
      <c r="U58" s="3" t="n">
        <v>1057</v>
      </c>
      <c r="V58" s="3" t="n">
        <v>416</v>
      </c>
      <c r="W58" s="3" t="n"/>
      <c r="X58" s="3">
        <f>ROUND((T58+1)*'Read me'!$C$14/60,1)</f>
        <v/>
      </c>
      <c r="Y58" s="8" t="n"/>
      <c r="Z58" s="8" t="inlineStr">
        <is>
          <t>Not started</t>
        </is>
      </c>
      <c r="AA58" s="8" t="n"/>
      <c r="AB58" s="8" t="n"/>
      <c r="AC58" s="8" t="n"/>
      <c r="AD58" s="8" t="n"/>
      <c r="AE58" s="8" t="n"/>
      <c r="AF58" s="8" t="n"/>
      <c r="AG58" s="8" t="n"/>
      <c r="AH58" s="8" t="n"/>
      <c r="AI58" s="8" t="n"/>
      <c r="AJ58" s="8">
        <f>IF(OR(AH58="",'Submission &amp; QC'!$C$18=""),"",IF(AND(ABS(AH58-'Submission &amp; QC'!$C$18)&lt;=0.0005*ABS('Submission &amp; QC'!$C$18),ABS(AI58-'Submission &amp; QC'!$C$19)&lt;=0.0005*ABS('Submission &amp; QC'!$C$19)),"Pass","Fail"))</f>
        <v/>
      </c>
      <c r="AK58" s="8" t="n"/>
      <c r="AL58" s="8" t="n"/>
    </row>
    <row r="59" ht="195" customHeight="1">
      <c r="A59" s="3" t="inlineStr">
        <is>
          <t>A058</t>
        </is>
      </c>
      <c r="B59" s="7" t="inlineStr">
        <is>
          <t>A</t>
        </is>
      </c>
      <c r="C59" s="3" t="n">
        <v>3</v>
      </c>
      <c r="D59" s="3" t="inlineStr">
        <is>
          <t>Install</t>
        </is>
      </c>
      <c r="E59" s="3" t="inlineStr">
        <is>
          <t>INST-AL-Any-Large-Clust-Small</t>
        </is>
      </c>
      <c r="F59" s="3" t="inlineStr">
        <is>
          <t>Install large modules, clustered, any eligible depth (10-100 m), Alabama (west of the Perdido River), small budget ($0.1-1 M)</t>
        </is>
      </c>
      <c r="G59" s="3" t="inlineStr">
        <is>
          <t>Alabama (west of the Perdido River)</t>
        </is>
      </c>
      <c r="H59" s="3" t="inlineStr">
        <is>
          <t>Any eligible depth (10-100 m)</t>
        </is>
      </c>
      <c r="I59" s="3" t="inlineStr">
        <is>
          <t>Large module ($12,000; 20 m2; 6 m tall)</t>
        </is>
      </c>
      <c r="J59" s="3" t="inlineStr">
        <is>
          <t>Clustered (favour cells next to existing modules)</t>
        </is>
      </c>
      <c r="K59" s="3" t="inlineStr">
        <is>
          <t>Small: $0.1-1 M</t>
        </is>
      </c>
      <c r="L59" s="3" t="n"/>
      <c r="M59" s="3" t="n"/>
      <c r="N59" s="3" t="n"/>
      <c r="O59" s="3" t="n"/>
      <c r="P59" s="3" t="n"/>
      <c r="Q59" s="3" t="n"/>
      <c r="R59" s="3" t="inlineStr">
        <is>
          <t>Strategy &gt; Strategy: Install new structures
Installation &gt; Maximum budget per scenario (USD): 1,000,000
Installation &gt; Minimum budget per scenario (USD): 100,000
Installation &gt; How budgets are drawn: Uniform
Installation &gt; East lon: -87.51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1,058</t>
        </is>
      </c>
      <c r="S59" s="3" t="inlineStr">
        <is>
          <t>A058_INST-AL-Any-Large-Clust-Small.json</t>
        </is>
      </c>
      <c r="T59" s="3" t="n">
        <v>100</v>
      </c>
      <c r="U59" s="3" t="n">
        <v>1058</v>
      </c>
      <c r="V59" s="3" t="n">
        <v>416</v>
      </c>
      <c r="W59" s="3" t="n"/>
      <c r="X59" s="3">
        <f>ROUND((T59+1)*'Read me'!$C$14/60,1)</f>
        <v/>
      </c>
      <c r="Y59" s="8" t="n"/>
      <c r="Z59" s="8" t="inlineStr">
        <is>
          <t>Not started</t>
        </is>
      </c>
      <c r="AA59" s="8" t="n"/>
      <c r="AB59" s="8" t="n"/>
      <c r="AC59" s="8" t="n"/>
      <c r="AD59" s="8" t="n"/>
      <c r="AE59" s="8" t="n"/>
      <c r="AF59" s="8" t="n"/>
      <c r="AG59" s="8" t="n"/>
      <c r="AH59" s="8" t="n"/>
      <c r="AI59" s="8" t="n"/>
      <c r="AJ59" s="8">
        <f>IF(OR(AH59="",'Submission &amp; QC'!$C$18=""),"",IF(AND(ABS(AH59-'Submission &amp; QC'!$C$18)&lt;=0.0005*ABS('Submission &amp; QC'!$C$18),ABS(AI59-'Submission &amp; QC'!$C$19)&lt;=0.0005*ABS('Submission &amp; QC'!$C$19)),"Pass","Fail"))</f>
        <v/>
      </c>
      <c r="AK59" s="8" t="n"/>
      <c r="AL59" s="8" t="n"/>
    </row>
    <row r="60" ht="195" customHeight="1">
      <c r="A60" s="3" t="inlineStr">
        <is>
          <t>A059</t>
        </is>
      </c>
      <c r="B60" s="7" t="inlineStr">
        <is>
          <t>A</t>
        </is>
      </c>
      <c r="C60" s="3" t="n">
        <v>3</v>
      </c>
      <c r="D60" s="3" t="inlineStr">
        <is>
          <t>Install</t>
        </is>
      </c>
      <c r="E60" s="3" t="inlineStr">
        <is>
          <t>INST-AL-Any-Large-Clust-Medium</t>
        </is>
      </c>
      <c r="F60" s="3" t="inlineStr">
        <is>
          <t>Install large modules, clustered, any eligible depth (10-100 m), Alabama (west of the Perdido River), medium budget ($1-5 M)</t>
        </is>
      </c>
      <c r="G60" s="3" t="inlineStr">
        <is>
          <t>Alabama (west of the Perdido River)</t>
        </is>
      </c>
      <c r="H60" s="3" t="inlineStr">
        <is>
          <t>Any eligible depth (10-100 m)</t>
        </is>
      </c>
      <c r="I60" s="3" t="inlineStr">
        <is>
          <t>Large module ($12,000; 20 m2; 6 m tall)</t>
        </is>
      </c>
      <c r="J60" s="3" t="inlineStr">
        <is>
          <t>Clustered (favour cells next to existing modules)</t>
        </is>
      </c>
      <c r="K60" s="3" t="inlineStr">
        <is>
          <t>Medium: $1-5 M</t>
        </is>
      </c>
      <c r="L60" s="3" t="n"/>
      <c r="M60" s="3" t="n"/>
      <c r="N60" s="3" t="n"/>
      <c r="O60" s="3" t="n"/>
      <c r="P60" s="3" t="n"/>
      <c r="Q60" s="3" t="n"/>
      <c r="R60" s="3" t="inlineStr">
        <is>
          <t>Strategy &gt; Strategy: Install new structures
Installation &gt; Maximum budget per scenario (USD): 5,000,000
Installation &gt; Minimum budget per scenario (USD): 1,000,000
Installation &gt; How budgets are drawn: Uniform
Installation &gt; East lon: -87.51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1,059</t>
        </is>
      </c>
      <c r="S60" s="3" t="inlineStr">
        <is>
          <t>A059_INST-AL-Any-Large-Clust-Medium.json</t>
        </is>
      </c>
      <c r="T60" s="3" t="n">
        <v>100</v>
      </c>
      <c r="U60" s="3" t="n">
        <v>1059</v>
      </c>
      <c r="V60" s="3" t="n">
        <v>416</v>
      </c>
      <c r="W60" s="3" t="n"/>
      <c r="X60" s="3">
        <f>ROUND((T60+1)*'Read me'!$C$14/60,1)</f>
        <v/>
      </c>
      <c r="Y60" s="8" t="n"/>
      <c r="Z60" s="8" t="inlineStr">
        <is>
          <t>Not started</t>
        </is>
      </c>
      <c r="AA60" s="8" t="n"/>
      <c r="AB60" s="8" t="n"/>
      <c r="AC60" s="8" t="n"/>
      <c r="AD60" s="8" t="n"/>
      <c r="AE60" s="8" t="n"/>
      <c r="AF60" s="8" t="n"/>
      <c r="AG60" s="8" t="n"/>
      <c r="AH60" s="8" t="n"/>
      <c r="AI60" s="8" t="n"/>
      <c r="AJ60" s="8">
        <f>IF(OR(AH60="",'Submission &amp; QC'!$C$18=""),"",IF(AND(ABS(AH60-'Submission &amp; QC'!$C$18)&lt;=0.0005*ABS('Submission &amp; QC'!$C$18),ABS(AI60-'Submission &amp; QC'!$C$19)&lt;=0.0005*ABS('Submission &amp; QC'!$C$19)),"Pass","Fail"))</f>
        <v/>
      </c>
      <c r="AK60" s="8" t="n"/>
      <c r="AL60" s="8" t="n"/>
    </row>
    <row r="61" ht="195" customHeight="1">
      <c r="A61" s="3" t="inlineStr">
        <is>
          <t>A060</t>
        </is>
      </c>
      <c r="B61" s="7" t="inlineStr">
        <is>
          <t>A</t>
        </is>
      </c>
      <c r="C61" s="3" t="n">
        <v>3</v>
      </c>
      <c r="D61" s="3" t="inlineStr">
        <is>
          <t>Install</t>
        </is>
      </c>
      <c r="E61" s="3" t="inlineStr">
        <is>
          <t>INST-AL-Any-Large-Clust-Large</t>
        </is>
      </c>
      <c r="F61" s="3" t="inlineStr">
        <is>
          <t>Install large modules, clustered, any eligible depth (10-100 m), Alabama (west of the Perdido River), large budget ($5-15 M)</t>
        </is>
      </c>
      <c r="G61" s="3" t="inlineStr">
        <is>
          <t>Alabama (west of the Perdido River)</t>
        </is>
      </c>
      <c r="H61" s="3" t="inlineStr">
        <is>
          <t>Any eligible depth (10-100 m)</t>
        </is>
      </c>
      <c r="I61" s="3" t="inlineStr">
        <is>
          <t>Large module ($12,000; 20 m2; 6 m tall)</t>
        </is>
      </c>
      <c r="J61" s="3" t="inlineStr">
        <is>
          <t>Clustered (favour cells next to existing modules)</t>
        </is>
      </c>
      <c r="K61" s="3" t="inlineStr">
        <is>
          <t>Large: $5-15 M</t>
        </is>
      </c>
      <c r="L61" s="3" t="n"/>
      <c r="M61" s="3" t="n"/>
      <c r="N61" s="3" t="n"/>
      <c r="O61" s="3" t="n"/>
      <c r="P61" s="3" t="n"/>
      <c r="Q61" s="3" t="n"/>
      <c r="R61" s="3" t="inlineStr">
        <is>
          <t>Strategy &gt; Strategy: Install new structures
Installation &gt; Maximum budget per scenario (USD): 15,000,000
Installation &gt; Minimum budget per scenario (USD): 5,000,000
Installation &gt; How budgets are drawn: Uniform
Installation &gt; East lon: -87.51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1,060</t>
        </is>
      </c>
      <c r="S61" s="3" t="inlineStr">
        <is>
          <t>A060_INST-AL-Any-Large-Clust-Large.json</t>
        </is>
      </c>
      <c r="T61" s="3" t="n">
        <v>100</v>
      </c>
      <c r="U61" s="3" t="n">
        <v>1060</v>
      </c>
      <c r="V61" s="3" t="n">
        <v>416</v>
      </c>
      <c r="W61" s="3" t="n"/>
      <c r="X61" s="3">
        <f>ROUND((T61+1)*'Read me'!$C$14/60,1)</f>
        <v/>
      </c>
      <c r="Y61" s="8" t="n"/>
      <c r="Z61" s="8" t="inlineStr">
        <is>
          <t>Not started</t>
        </is>
      </c>
      <c r="AA61" s="8" t="n"/>
      <c r="AB61" s="8" t="n"/>
      <c r="AC61" s="8" t="n"/>
      <c r="AD61" s="8" t="n"/>
      <c r="AE61" s="8" t="n"/>
      <c r="AF61" s="8" t="n"/>
      <c r="AG61" s="8" t="n"/>
      <c r="AH61" s="8" t="n"/>
      <c r="AI61" s="8" t="n"/>
      <c r="AJ61" s="8">
        <f>IF(OR(AH61="",'Submission &amp; QC'!$C$18=""),"",IF(AND(ABS(AH61-'Submission &amp; QC'!$C$18)&lt;=0.0005*ABS('Submission &amp; QC'!$C$18),ABS(AI61-'Submission &amp; QC'!$C$19)&lt;=0.0005*ABS('Submission &amp; QC'!$C$19)),"Pass","Fail"))</f>
        <v/>
      </c>
      <c r="AK61" s="8" t="n"/>
      <c r="AL61" s="8" t="n"/>
    </row>
    <row r="62" ht="165" customHeight="1">
      <c r="A62" s="3" t="inlineStr">
        <is>
          <t>A061</t>
        </is>
      </c>
      <c r="B62" s="7" t="inlineStr">
        <is>
          <t>A</t>
        </is>
      </c>
      <c r="C62" s="3" t="n">
        <v>2</v>
      </c>
      <c r="D62" s="3" t="inlineStr">
        <is>
          <t>Install</t>
        </is>
      </c>
      <c r="E62" s="3" t="inlineStr">
        <is>
          <t>INST-AL-Shallow-Std-Disp-Small</t>
        </is>
      </c>
      <c r="F62" s="3" t="inlineStr">
        <is>
          <t>Install standard prefab modules, dispersed, shallow (10-30 m), Alabama (west of the Perdido River), small budget ($0.1-1 M)</t>
        </is>
      </c>
      <c r="G62" s="3" t="inlineStr">
        <is>
          <t>Alabama (west of the Perdido River)</t>
        </is>
      </c>
      <c r="H62" s="3" t="inlineStr">
        <is>
          <t>Shallow (10-30 m)</t>
        </is>
      </c>
      <c r="I62" s="3" t="inlineStr">
        <is>
          <t>Standard prefab module ($2,500; 6 m2; 3 m tall)</t>
        </is>
      </c>
      <c r="J62" s="3" t="inlineStr">
        <is>
          <t>Dispersed (no connectivity preference)</t>
        </is>
      </c>
      <c r="K62" s="3" t="inlineStr">
        <is>
          <t>Small: $0.1-1 M</t>
        </is>
      </c>
      <c r="L62" s="3" t="n"/>
      <c r="M62" s="3" t="n"/>
      <c r="N62" s="3" t="n"/>
      <c r="O62" s="3" t="n"/>
      <c r="P62" s="3" t="n"/>
      <c r="Q62" s="3" t="n"/>
      <c r="R62" s="3" t="inlineStr">
        <is>
          <t>Strategy &gt; Strategy: Install new structures
Installation &gt; Maximum budget per scenario (USD): 1,000,000
Installation &gt; Minimum budget per scenario (USD): 100,000
Installation &gt; How budgets are drawn: Uniform
Installation &gt; East lon: -87.51
Installation &gt; Min depth (m): 10
Installation &gt; Max depth (m): 30
Installation &gt; Favour cells next to existing modules: unticked
Live solver / Search &gt; Number of scenarios to run: 100
Search &gt; Search algorithm: Random search
Search &gt; Random seed: 1,061</t>
        </is>
      </c>
      <c r="S62" s="3" t="inlineStr">
        <is>
          <t>A061_INST-AL-Shallow-Std-Disp-Small.json</t>
        </is>
      </c>
      <c r="T62" s="3" t="n">
        <v>100</v>
      </c>
      <c r="U62" s="3" t="n">
        <v>1061</v>
      </c>
      <c r="V62" s="3" t="n">
        <v>123</v>
      </c>
      <c r="W62" s="3" t="n"/>
      <c r="X62" s="3">
        <f>ROUND((T62+1)*'Read me'!$C$14/60,1)</f>
        <v/>
      </c>
      <c r="Y62" s="8" t="n"/>
      <c r="Z62" s="8" t="inlineStr">
        <is>
          <t>Not started</t>
        </is>
      </c>
      <c r="AA62" s="8" t="n"/>
      <c r="AB62" s="8" t="n"/>
      <c r="AC62" s="8" t="n"/>
      <c r="AD62" s="8" t="n"/>
      <c r="AE62" s="8" t="n"/>
      <c r="AF62" s="8" t="n"/>
      <c r="AG62" s="8" t="n"/>
      <c r="AH62" s="8" t="n"/>
      <c r="AI62" s="8" t="n"/>
      <c r="AJ62" s="8">
        <f>IF(OR(AH62="",'Submission &amp; QC'!$C$18=""),"",IF(AND(ABS(AH62-'Submission &amp; QC'!$C$18)&lt;=0.0005*ABS('Submission &amp; QC'!$C$18),ABS(AI62-'Submission &amp; QC'!$C$19)&lt;=0.0005*ABS('Submission &amp; QC'!$C$19)),"Pass","Fail"))</f>
        <v/>
      </c>
      <c r="AK62" s="8" t="n"/>
      <c r="AL62" s="8" t="n"/>
    </row>
    <row r="63" ht="165" customHeight="1">
      <c r="A63" s="3" t="inlineStr">
        <is>
          <t>A062</t>
        </is>
      </c>
      <c r="B63" s="7" t="inlineStr">
        <is>
          <t>A</t>
        </is>
      </c>
      <c r="C63" s="3" t="n">
        <v>2</v>
      </c>
      <c r="D63" s="3" t="inlineStr">
        <is>
          <t>Install</t>
        </is>
      </c>
      <c r="E63" s="3" t="inlineStr">
        <is>
          <t>INST-AL-Shallow-Std-Disp-Medium</t>
        </is>
      </c>
      <c r="F63" s="3" t="inlineStr">
        <is>
          <t>Install standard prefab modules, dispersed, shallow (10-30 m), Alabama (west of the Perdido River), medium budget ($1-5 M)</t>
        </is>
      </c>
      <c r="G63" s="3" t="inlineStr">
        <is>
          <t>Alabama (west of the Perdido River)</t>
        </is>
      </c>
      <c r="H63" s="3" t="inlineStr">
        <is>
          <t>Shallow (10-30 m)</t>
        </is>
      </c>
      <c r="I63" s="3" t="inlineStr">
        <is>
          <t>Standard prefab module ($2,500; 6 m2; 3 m tall)</t>
        </is>
      </c>
      <c r="J63" s="3" t="inlineStr">
        <is>
          <t>Dispersed (no connectivity preference)</t>
        </is>
      </c>
      <c r="K63" s="3" t="inlineStr">
        <is>
          <t>Medium: $1-5 M</t>
        </is>
      </c>
      <c r="L63" s="3" t="n"/>
      <c r="M63" s="3" t="n"/>
      <c r="N63" s="3" t="n"/>
      <c r="O63" s="3" t="n"/>
      <c r="P63" s="3" t="n"/>
      <c r="Q63" s="3" t="n"/>
      <c r="R63" s="3" t="inlineStr">
        <is>
          <t>Strategy &gt; Strategy: Install new structures
Installation &gt; Maximum budget per scenario (USD): 5,000,000
Installation &gt; Minimum budget per scenario (USD): 1,000,000
Installation &gt; How budgets are drawn: Uniform
Installation &gt; East lon: -87.51
Installation &gt; Min depth (m): 10
Installation &gt; Max depth (m): 30
Installation &gt; Favour cells next to existing modules: unticked
Live solver / Search &gt; Number of scenarios to run: 100
Search &gt; Search algorithm: Random search
Search &gt; Random seed: 1,062</t>
        </is>
      </c>
      <c r="S63" s="3" t="inlineStr">
        <is>
          <t>A062_INST-AL-Shallow-Std-Disp-Medium.json</t>
        </is>
      </c>
      <c r="T63" s="3" t="n">
        <v>100</v>
      </c>
      <c r="U63" s="3" t="n">
        <v>1062</v>
      </c>
      <c r="V63" s="3" t="n">
        <v>123</v>
      </c>
      <c r="W63" s="3" t="n"/>
      <c r="X63" s="3">
        <f>ROUND((T63+1)*'Read me'!$C$14/60,1)</f>
        <v/>
      </c>
      <c r="Y63" s="8" t="n"/>
      <c r="Z63" s="8" t="inlineStr">
        <is>
          <t>Not started</t>
        </is>
      </c>
      <c r="AA63" s="8" t="n"/>
      <c r="AB63" s="8" t="n"/>
      <c r="AC63" s="8" t="n"/>
      <c r="AD63" s="8" t="n"/>
      <c r="AE63" s="8" t="n"/>
      <c r="AF63" s="8" t="n"/>
      <c r="AG63" s="8" t="n"/>
      <c r="AH63" s="8" t="n"/>
      <c r="AI63" s="8" t="n"/>
      <c r="AJ63" s="8">
        <f>IF(OR(AH63="",'Submission &amp; QC'!$C$18=""),"",IF(AND(ABS(AH63-'Submission &amp; QC'!$C$18)&lt;=0.0005*ABS('Submission &amp; QC'!$C$18),ABS(AI63-'Submission &amp; QC'!$C$19)&lt;=0.0005*ABS('Submission &amp; QC'!$C$19)),"Pass","Fail"))</f>
        <v/>
      </c>
      <c r="AK63" s="8" t="n"/>
      <c r="AL63" s="8" t="n"/>
    </row>
    <row r="64" ht="165" customHeight="1">
      <c r="A64" s="3" t="inlineStr">
        <is>
          <t>A063</t>
        </is>
      </c>
      <c r="B64" s="7" t="inlineStr">
        <is>
          <t>A</t>
        </is>
      </c>
      <c r="C64" s="3" t="n">
        <v>2</v>
      </c>
      <c r="D64" s="3" t="inlineStr">
        <is>
          <t>Install</t>
        </is>
      </c>
      <c r="E64" s="3" t="inlineStr">
        <is>
          <t>INST-AL-Shallow-Std-Disp-Large</t>
        </is>
      </c>
      <c r="F64" s="3" t="inlineStr">
        <is>
          <t>Install standard prefab modules, dispersed, shallow (10-30 m), Alabama (west of the Perdido River), large budget ($5-15 M)</t>
        </is>
      </c>
      <c r="G64" s="3" t="inlineStr">
        <is>
          <t>Alabama (west of the Perdido River)</t>
        </is>
      </c>
      <c r="H64" s="3" t="inlineStr">
        <is>
          <t>Shallow (10-30 m)</t>
        </is>
      </c>
      <c r="I64" s="3" t="inlineStr">
        <is>
          <t>Standard prefab module ($2,500; 6 m2; 3 m tall)</t>
        </is>
      </c>
      <c r="J64" s="3" t="inlineStr">
        <is>
          <t>Dispersed (no connectivity preference)</t>
        </is>
      </c>
      <c r="K64" s="3" t="inlineStr">
        <is>
          <t>Large: $5-15 M</t>
        </is>
      </c>
      <c r="L64" s="3" t="n"/>
      <c r="M64" s="3" t="n"/>
      <c r="N64" s="3" t="n"/>
      <c r="O64" s="3" t="n"/>
      <c r="P64" s="3" t="n"/>
      <c r="Q64" s="3" t="n"/>
      <c r="R64"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10
Installation &gt; Max depth (m): 30
Installation &gt; Favour cells next to existing modules: unticked
Live solver / Search &gt; Number of scenarios to run: 100
Search &gt; Search algorithm: Random search
Search &gt; Random seed: 1,063</t>
        </is>
      </c>
      <c r="S64" s="3" t="inlineStr">
        <is>
          <t>A063_INST-AL-Shallow-Std-Disp-Large.json</t>
        </is>
      </c>
      <c r="T64" s="3" t="n">
        <v>100</v>
      </c>
      <c r="U64" s="3" t="n">
        <v>1063</v>
      </c>
      <c r="V64" s="3" t="n">
        <v>123</v>
      </c>
      <c r="W64" s="3" t="n"/>
      <c r="X64" s="3">
        <f>ROUND((T64+1)*'Read me'!$C$14/60,1)</f>
        <v/>
      </c>
      <c r="Y64" s="8" t="n"/>
      <c r="Z64" s="8" t="inlineStr">
        <is>
          <t>Not started</t>
        </is>
      </c>
      <c r="AA64" s="8" t="n"/>
      <c r="AB64" s="8" t="n"/>
      <c r="AC64" s="8" t="n"/>
      <c r="AD64" s="8" t="n"/>
      <c r="AE64" s="8" t="n"/>
      <c r="AF64" s="8" t="n"/>
      <c r="AG64" s="8" t="n"/>
      <c r="AH64" s="8" t="n"/>
      <c r="AI64" s="8" t="n"/>
      <c r="AJ64" s="8">
        <f>IF(OR(AH64="",'Submission &amp; QC'!$C$18=""),"",IF(AND(ABS(AH64-'Submission &amp; QC'!$C$18)&lt;=0.0005*ABS('Submission &amp; QC'!$C$18),ABS(AI64-'Submission &amp; QC'!$C$19)&lt;=0.0005*ABS('Submission &amp; QC'!$C$19)),"Pass","Fail"))</f>
        <v/>
      </c>
      <c r="AK64" s="8" t="n"/>
      <c r="AL64" s="8" t="n"/>
    </row>
    <row r="65" ht="180" customHeight="1">
      <c r="A65" s="3" t="inlineStr">
        <is>
          <t>A064</t>
        </is>
      </c>
      <c r="B65" s="7" t="inlineStr">
        <is>
          <t>A</t>
        </is>
      </c>
      <c r="C65" s="3" t="n">
        <v>2</v>
      </c>
      <c r="D65" s="3" t="inlineStr">
        <is>
          <t>Install</t>
        </is>
      </c>
      <c r="E65" s="3" t="inlineStr">
        <is>
          <t>INST-AL-Shallow-Std-Clust-Small</t>
        </is>
      </c>
      <c r="F65" s="3" t="inlineStr">
        <is>
          <t>Install standard prefab modules, clustered, shallow (10-30 m), Alabama (west of the Perdido River), small budget ($0.1-1 M)</t>
        </is>
      </c>
      <c r="G65" s="3" t="inlineStr">
        <is>
          <t>Alabama (west of the Perdido River)</t>
        </is>
      </c>
      <c r="H65" s="3" t="inlineStr">
        <is>
          <t>Shallow (10-30 m)</t>
        </is>
      </c>
      <c r="I65" s="3" t="inlineStr">
        <is>
          <t>Standard prefab module ($2,500; 6 m2; 3 m tall)</t>
        </is>
      </c>
      <c r="J65" s="3" t="inlineStr">
        <is>
          <t>Clustered (favour cells next to existing modules)</t>
        </is>
      </c>
      <c r="K65" s="3" t="inlineStr">
        <is>
          <t>Small: $0.1-1 M</t>
        </is>
      </c>
      <c r="L65" s="3" t="n"/>
      <c r="M65" s="3" t="n"/>
      <c r="N65" s="3" t="n"/>
      <c r="O65" s="3" t="n"/>
      <c r="P65" s="3" t="n"/>
      <c r="Q65" s="3" t="n"/>
      <c r="R65" s="3" t="inlineStr">
        <is>
          <t>Strategy &gt; Strategy: Install new structures
Installation &gt; Maximum budget per scenario (USD): 1,000,000
Installation &gt; Minimum budget per scenario (USD): 100,000
Installation &gt; How budgets are drawn: Uniform
Installation &gt; East lon: -87.51
Installation &gt; Min depth (m): 10
Installation &gt; Max depth (m): 30
Installation &gt; Favour cells next to existing modules: ticked
Installation &gt; Connectivity bonus: 10
Live solver / Search &gt; Number of scenarios to run: 100
Search &gt; Search algorithm: Random search
Search &gt; Random seed: 1,064</t>
        </is>
      </c>
      <c r="S65" s="3" t="inlineStr">
        <is>
          <t>A064_INST-AL-Shallow-Std-Clust-Small.json</t>
        </is>
      </c>
      <c r="T65" s="3" t="n">
        <v>100</v>
      </c>
      <c r="U65" s="3" t="n">
        <v>1064</v>
      </c>
      <c r="V65" s="3" t="n">
        <v>123</v>
      </c>
      <c r="W65" s="3" t="n"/>
      <c r="X65" s="3">
        <f>ROUND((T65+1)*'Read me'!$C$14/60,1)</f>
        <v/>
      </c>
      <c r="Y65" s="8" t="n"/>
      <c r="Z65" s="8" t="inlineStr">
        <is>
          <t>Not started</t>
        </is>
      </c>
      <c r="AA65" s="8" t="n"/>
      <c r="AB65" s="8" t="n"/>
      <c r="AC65" s="8" t="n"/>
      <c r="AD65" s="8" t="n"/>
      <c r="AE65" s="8" t="n"/>
      <c r="AF65" s="8" t="n"/>
      <c r="AG65" s="8" t="n"/>
      <c r="AH65" s="8" t="n"/>
      <c r="AI65" s="8" t="n"/>
      <c r="AJ65" s="8">
        <f>IF(OR(AH65="",'Submission &amp; QC'!$C$18=""),"",IF(AND(ABS(AH65-'Submission &amp; QC'!$C$18)&lt;=0.0005*ABS('Submission &amp; QC'!$C$18),ABS(AI65-'Submission &amp; QC'!$C$19)&lt;=0.0005*ABS('Submission &amp; QC'!$C$19)),"Pass","Fail"))</f>
        <v/>
      </c>
      <c r="AK65" s="8" t="n"/>
      <c r="AL65" s="8" t="n"/>
    </row>
    <row r="66" ht="180" customHeight="1">
      <c r="A66" s="3" t="inlineStr">
        <is>
          <t>A065</t>
        </is>
      </c>
      <c r="B66" s="7" t="inlineStr">
        <is>
          <t>A</t>
        </is>
      </c>
      <c r="C66" s="3" t="n">
        <v>2</v>
      </c>
      <c r="D66" s="3" t="inlineStr">
        <is>
          <t>Install</t>
        </is>
      </c>
      <c r="E66" s="3" t="inlineStr">
        <is>
          <t>INST-AL-Shallow-Std-Clust-Medium</t>
        </is>
      </c>
      <c r="F66" s="3" t="inlineStr">
        <is>
          <t>Install standard prefab modules, clustered, shallow (10-30 m), Alabama (west of the Perdido River), medium budget ($1-5 M)</t>
        </is>
      </c>
      <c r="G66" s="3" t="inlineStr">
        <is>
          <t>Alabama (west of the Perdido River)</t>
        </is>
      </c>
      <c r="H66" s="3" t="inlineStr">
        <is>
          <t>Shallow (10-30 m)</t>
        </is>
      </c>
      <c r="I66" s="3" t="inlineStr">
        <is>
          <t>Standard prefab module ($2,500; 6 m2; 3 m tall)</t>
        </is>
      </c>
      <c r="J66" s="3" t="inlineStr">
        <is>
          <t>Clustered (favour cells next to existing modules)</t>
        </is>
      </c>
      <c r="K66" s="3" t="inlineStr">
        <is>
          <t>Medium: $1-5 M</t>
        </is>
      </c>
      <c r="L66" s="3" t="n"/>
      <c r="M66" s="3" t="n"/>
      <c r="N66" s="3" t="n"/>
      <c r="O66" s="3" t="n"/>
      <c r="P66" s="3" t="n"/>
      <c r="Q66" s="3" t="n"/>
      <c r="R66" s="3" t="inlineStr">
        <is>
          <t>Strategy &gt; Strategy: Install new structures
Installation &gt; Maximum budget per scenario (USD): 5,000,000
Installation &gt; Minimum budget per scenario (USD): 1,000,000
Installation &gt; How budgets are drawn: Uniform
Installation &gt; East lon: -87.51
Installation &gt; Min depth (m): 10
Installation &gt; Max depth (m): 30
Installation &gt; Favour cells next to existing modules: ticked
Installation &gt; Connectivity bonus: 10
Live solver / Search &gt; Number of scenarios to run: 100
Search &gt; Search algorithm: Random search
Search &gt; Random seed: 1,065</t>
        </is>
      </c>
      <c r="S66" s="3" t="inlineStr">
        <is>
          <t>A065_INST-AL-Shallow-Std-Clust-Medium.json</t>
        </is>
      </c>
      <c r="T66" s="3" t="n">
        <v>100</v>
      </c>
      <c r="U66" s="3" t="n">
        <v>1065</v>
      </c>
      <c r="V66" s="3" t="n">
        <v>123</v>
      </c>
      <c r="W66" s="3" t="n"/>
      <c r="X66" s="3">
        <f>ROUND((T66+1)*'Read me'!$C$14/60,1)</f>
        <v/>
      </c>
      <c r="Y66" s="8" t="n"/>
      <c r="Z66" s="8" t="inlineStr">
        <is>
          <t>Not started</t>
        </is>
      </c>
      <c r="AA66" s="8" t="n"/>
      <c r="AB66" s="8" t="n"/>
      <c r="AC66" s="8" t="n"/>
      <c r="AD66" s="8" t="n"/>
      <c r="AE66" s="8" t="n"/>
      <c r="AF66" s="8" t="n"/>
      <c r="AG66" s="8" t="n"/>
      <c r="AH66" s="8" t="n"/>
      <c r="AI66" s="8" t="n"/>
      <c r="AJ66" s="8">
        <f>IF(OR(AH66="",'Submission &amp; QC'!$C$18=""),"",IF(AND(ABS(AH66-'Submission &amp; QC'!$C$18)&lt;=0.0005*ABS('Submission &amp; QC'!$C$18),ABS(AI66-'Submission &amp; QC'!$C$19)&lt;=0.0005*ABS('Submission &amp; QC'!$C$19)),"Pass","Fail"))</f>
        <v/>
      </c>
      <c r="AK66" s="8" t="n"/>
      <c r="AL66" s="8" t="n"/>
    </row>
    <row r="67" ht="180" customHeight="1">
      <c r="A67" s="3" t="inlineStr">
        <is>
          <t>A066</t>
        </is>
      </c>
      <c r="B67" s="7" t="inlineStr">
        <is>
          <t>A</t>
        </is>
      </c>
      <c r="C67" s="3" t="n">
        <v>2</v>
      </c>
      <c r="D67" s="3" t="inlineStr">
        <is>
          <t>Install</t>
        </is>
      </c>
      <c r="E67" s="3" t="inlineStr">
        <is>
          <t>INST-AL-Shallow-Std-Clust-Large</t>
        </is>
      </c>
      <c r="F67" s="3" t="inlineStr">
        <is>
          <t>Install standard prefab modules, clustered, shallow (10-30 m), Alabama (west of the Perdido River), large budget ($5-15 M)</t>
        </is>
      </c>
      <c r="G67" s="3" t="inlineStr">
        <is>
          <t>Alabama (west of the Perdido River)</t>
        </is>
      </c>
      <c r="H67" s="3" t="inlineStr">
        <is>
          <t>Shallow (10-30 m)</t>
        </is>
      </c>
      <c r="I67" s="3" t="inlineStr">
        <is>
          <t>Standard prefab module ($2,500; 6 m2; 3 m tall)</t>
        </is>
      </c>
      <c r="J67" s="3" t="inlineStr">
        <is>
          <t>Clustered (favour cells next to existing modules)</t>
        </is>
      </c>
      <c r="K67" s="3" t="inlineStr">
        <is>
          <t>Large: $5-15 M</t>
        </is>
      </c>
      <c r="L67" s="3" t="n"/>
      <c r="M67" s="3" t="n"/>
      <c r="N67" s="3" t="n"/>
      <c r="O67" s="3" t="n"/>
      <c r="P67" s="3" t="n"/>
      <c r="Q67" s="3" t="n"/>
      <c r="R67"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10
Installation &gt; Max depth (m): 30
Installation &gt; Favour cells next to existing modules: ticked
Installation &gt; Connectivity bonus: 10
Live solver / Search &gt; Number of scenarios to run: 100
Search &gt; Search algorithm: Random search
Search &gt; Random seed: 1,066</t>
        </is>
      </c>
      <c r="S67" s="3" t="inlineStr">
        <is>
          <t>A066_INST-AL-Shallow-Std-Clust-Large.json</t>
        </is>
      </c>
      <c r="T67" s="3" t="n">
        <v>100</v>
      </c>
      <c r="U67" s="3" t="n">
        <v>1066</v>
      </c>
      <c r="V67" s="3" t="n">
        <v>123</v>
      </c>
      <c r="W67" s="3" t="n"/>
      <c r="X67" s="3">
        <f>ROUND((T67+1)*'Read me'!$C$14/60,1)</f>
        <v/>
      </c>
      <c r="Y67" s="8" t="n"/>
      <c r="Z67" s="8" t="inlineStr">
        <is>
          <t>Not started</t>
        </is>
      </c>
      <c r="AA67" s="8" t="n"/>
      <c r="AB67" s="8" t="n"/>
      <c r="AC67" s="8" t="n"/>
      <c r="AD67" s="8" t="n"/>
      <c r="AE67" s="8" t="n"/>
      <c r="AF67" s="8" t="n"/>
      <c r="AG67" s="8" t="n"/>
      <c r="AH67" s="8" t="n"/>
      <c r="AI67" s="8" t="n"/>
      <c r="AJ67" s="8">
        <f>IF(OR(AH67="",'Submission &amp; QC'!$C$18=""),"",IF(AND(ABS(AH67-'Submission &amp; QC'!$C$18)&lt;=0.0005*ABS('Submission &amp; QC'!$C$18),ABS(AI67-'Submission &amp; QC'!$C$19)&lt;=0.0005*ABS('Submission &amp; QC'!$C$19)),"Pass","Fail"))</f>
        <v/>
      </c>
      <c r="AK67" s="8" t="n"/>
      <c r="AL67" s="8" t="n"/>
    </row>
    <row r="68" ht="210" customHeight="1">
      <c r="A68" s="3" t="inlineStr">
        <is>
          <t>A067</t>
        </is>
      </c>
      <c r="B68" s="7" t="inlineStr">
        <is>
          <t>A</t>
        </is>
      </c>
      <c r="C68" s="3" t="n">
        <v>3</v>
      </c>
      <c r="D68" s="3" t="inlineStr">
        <is>
          <t>Install</t>
        </is>
      </c>
      <c r="E68" s="3" t="inlineStr">
        <is>
          <t>INST-AL-Shallow-Large-Disp-Small</t>
        </is>
      </c>
      <c r="F68" s="3" t="inlineStr">
        <is>
          <t>Install large modules, dispersed, shallow (10-30 m), Alabama (west of the Perdido River), small budget ($0.1-1 M)</t>
        </is>
      </c>
      <c r="G68" s="3" t="inlineStr">
        <is>
          <t>Alabama (west of the Perdido River)</t>
        </is>
      </c>
      <c r="H68" s="3" t="inlineStr">
        <is>
          <t>Shallow (10-30 m)</t>
        </is>
      </c>
      <c r="I68" s="3" t="inlineStr">
        <is>
          <t>Large module ($12,000; 20 m2; 6 m tall)</t>
        </is>
      </c>
      <c r="J68" s="3" t="inlineStr">
        <is>
          <t>Dispersed (no connectivity preference)</t>
        </is>
      </c>
      <c r="K68" s="3" t="inlineStr">
        <is>
          <t>Small: $0.1-1 M</t>
        </is>
      </c>
      <c r="L68" s="3" t="n"/>
      <c r="M68" s="3" t="n"/>
      <c r="N68" s="3" t="n"/>
      <c r="O68" s="3" t="n"/>
      <c r="P68" s="3" t="n"/>
      <c r="Q68" s="3" t="n"/>
      <c r="R68" s="3" t="inlineStr">
        <is>
          <t>Strategy &gt; Strategy: Install new structures
Installation &gt; Maximum budget per scenario (USD): 1,000,000
Installation &gt; Minimum budget per scenario (USD): 100,000
Installation &gt; How budgets are drawn: Uniform
Installation &gt; East lon: -87.51
Installation &gt; Min depth (m): 10
Installation &gt; Max depth (m): 30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1,067</t>
        </is>
      </c>
      <c r="S68" s="3" t="inlineStr">
        <is>
          <t>A067_INST-AL-Shallow-Large-Disp-Small.json</t>
        </is>
      </c>
      <c r="T68" s="3" t="n">
        <v>100</v>
      </c>
      <c r="U68" s="3" t="n">
        <v>1067</v>
      </c>
      <c r="V68" s="3" t="n">
        <v>123</v>
      </c>
      <c r="W68" s="3" t="n"/>
      <c r="X68" s="3">
        <f>ROUND((T68+1)*'Read me'!$C$14/60,1)</f>
        <v/>
      </c>
      <c r="Y68" s="8" t="n"/>
      <c r="Z68" s="8" t="inlineStr">
        <is>
          <t>Not started</t>
        </is>
      </c>
      <c r="AA68" s="8" t="n"/>
      <c r="AB68" s="8" t="n"/>
      <c r="AC68" s="8" t="n"/>
      <c r="AD68" s="8" t="n"/>
      <c r="AE68" s="8" t="n"/>
      <c r="AF68" s="8" t="n"/>
      <c r="AG68" s="8" t="n"/>
      <c r="AH68" s="8" t="n"/>
      <c r="AI68" s="8" t="n"/>
      <c r="AJ68" s="8">
        <f>IF(OR(AH68="",'Submission &amp; QC'!$C$18=""),"",IF(AND(ABS(AH68-'Submission &amp; QC'!$C$18)&lt;=0.0005*ABS('Submission &amp; QC'!$C$18),ABS(AI68-'Submission &amp; QC'!$C$19)&lt;=0.0005*ABS('Submission &amp; QC'!$C$19)),"Pass","Fail"))</f>
        <v/>
      </c>
      <c r="AK68" s="8" t="n"/>
      <c r="AL68" s="8" t="n"/>
    </row>
    <row r="69" ht="210" customHeight="1">
      <c r="A69" s="3" t="inlineStr">
        <is>
          <t>A068</t>
        </is>
      </c>
      <c r="B69" s="7" t="inlineStr">
        <is>
          <t>A</t>
        </is>
      </c>
      <c r="C69" s="3" t="n">
        <v>3</v>
      </c>
      <c r="D69" s="3" t="inlineStr">
        <is>
          <t>Install</t>
        </is>
      </c>
      <c r="E69" s="3" t="inlineStr">
        <is>
          <t>INST-AL-Shallow-Large-Disp-Medium</t>
        </is>
      </c>
      <c r="F69" s="3" t="inlineStr">
        <is>
          <t>Install large modules, dispersed, shallow (10-30 m), Alabama (west of the Perdido River), medium budget ($1-5 M)</t>
        </is>
      </c>
      <c r="G69" s="3" t="inlineStr">
        <is>
          <t>Alabama (west of the Perdido River)</t>
        </is>
      </c>
      <c r="H69" s="3" t="inlineStr">
        <is>
          <t>Shallow (10-30 m)</t>
        </is>
      </c>
      <c r="I69" s="3" t="inlineStr">
        <is>
          <t>Large module ($12,000; 20 m2; 6 m tall)</t>
        </is>
      </c>
      <c r="J69" s="3" t="inlineStr">
        <is>
          <t>Dispersed (no connectivity preference)</t>
        </is>
      </c>
      <c r="K69" s="3" t="inlineStr">
        <is>
          <t>Medium: $1-5 M</t>
        </is>
      </c>
      <c r="L69" s="3" t="n"/>
      <c r="M69" s="3" t="n"/>
      <c r="N69" s="3" t="n"/>
      <c r="O69" s="3" t="n"/>
      <c r="P69" s="3" t="n"/>
      <c r="Q69" s="3" t="n"/>
      <c r="R69" s="3" t="inlineStr">
        <is>
          <t>Strategy &gt; Strategy: Install new structures
Installation &gt; Maximum budget per scenario (USD): 5,000,000
Installation &gt; Minimum budget per scenario (USD): 1,000,000
Installation &gt; How budgets are drawn: Uniform
Installation &gt; East lon: -87.51
Installation &gt; Min depth (m): 10
Installation &gt; Max depth (m): 30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1,068</t>
        </is>
      </c>
      <c r="S69" s="3" t="inlineStr">
        <is>
          <t>A068_INST-AL-Shallow-Large-Disp-Medium.json</t>
        </is>
      </c>
      <c r="T69" s="3" t="n">
        <v>100</v>
      </c>
      <c r="U69" s="3" t="n">
        <v>1068</v>
      </c>
      <c r="V69" s="3" t="n">
        <v>123</v>
      </c>
      <c r="W69" s="3" t="n"/>
      <c r="X69" s="3">
        <f>ROUND((T69+1)*'Read me'!$C$14/60,1)</f>
        <v/>
      </c>
      <c r="Y69" s="8" t="n"/>
      <c r="Z69" s="8" t="inlineStr">
        <is>
          <t>Not started</t>
        </is>
      </c>
      <c r="AA69" s="8" t="n"/>
      <c r="AB69" s="8" t="n"/>
      <c r="AC69" s="8" t="n"/>
      <c r="AD69" s="8" t="n"/>
      <c r="AE69" s="8" t="n"/>
      <c r="AF69" s="8" t="n"/>
      <c r="AG69" s="8" t="n"/>
      <c r="AH69" s="8" t="n"/>
      <c r="AI69" s="8" t="n"/>
      <c r="AJ69" s="8">
        <f>IF(OR(AH69="",'Submission &amp; QC'!$C$18=""),"",IF(AND(ABS(AH69-'Submission &amp; QC'!$C$18)&lt;=0.0005*ABS('Submission &amp; QC'!$C$18),ABS(AI69-'Submission &amp; QC'!$C$19)&lt;=0.0005*ABS('Submission &amp; QC'!$C$19)),"Pass","Fail"))</f>
        <v/>
      </c>
      <c r="AK69" s="8" t="n"/>
      <c r="AL69" s="8" t="n"/>
    </row>
    <row r="70" ht="210" customHeight="1">
      <c r="A70" s="3" t="inlineStr">
        <is>
          <t>A069</t>
        </is>
      </c>
      <c r="B70" s="7" t="inlineStr">
        <is>
          <t>A</t>
        </is>
      </c>
      <c r="C70" s="3" t="n">
        <v>3</v>
      </c>
      <c r="D70" s="3" t="inlineStr">
        <is>
          <t>Install</t>
        </is>
      </c>
      <c r="E70" s="3" t="inlineStr">
        <is>
          <t>INST-AL-Shallow-Large-Disp-Large</t>
        </is>
      </c>
      <c r="F70" s="3" t="inlineStr">
        <is>
          <t>Install large modules, dispersed, shallow (10-30 m), Alabama (west of the Perdido River), large budget ($5-15 M)</t>
        </is>
      </c>
      <c r="G70" s="3" t="inlineStr">
        <is>
          <t>Alabama (west of the Perdido River)</t>
        </is>
      </c>
      <c r="H70" s="3" t="inlineStr">
        <is>
          <t>Shallow (10-30 m)</t>
        </is>
      </c>
      <c r="I70" s="3" t="inlineStr">
        <is>
          <t>Large module ($12,000; 20 m2; 6 m tall)</t>
        </is>
      </c>
      <c r="J70" s="3" t="inlineStr">
        <is>
          <t>Dispersed (no connectivity preference)</t>
        </is>
      </c>
      <c r="K70" s="3" t="inlineStr">
        <is>
          <t>Large: $5-15 M</t>
        </is>
      </c>
      <c r="L70" s="3" t="n"/>
      <c r="M70" s="3" t="n"/>
      <c r="N70" s="3" t="n"/>
      <c r="O70" s="3" t="n"/>
      <c r="P70" s="3" t="n"/>
      <c r="Q70" s="3" t="n"/>
      <c r="R70"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10
Installation &gt; Max depth (m): 30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1,069</t>
        </is>
      </c>
      <c r="S70" s="3" t="inlineStr">
        <is>
          <t>A069_INST-AL-Shallow-Large-Disp-Large.json</t>
        </is>
      </c>
      <c r="T70" s="3" t="n">
        <v>100</v>
      </c>
      <c r="U70" s="3" t="n">
        <v>1069</v>
      </c>
      <c r="V70" s="3" t="n">
        <v>123</v>
      </c>
      <c r="W70" s="3" t="n"/>
      <c r="X70" s="3">
        <f>ROUND((T70+1)*'Read me'!$C$14/60,1)</f>
        <v/>
      </c>
      <c r="Y70" s="8" t="n"/>
      <c r="Z70" s="8" t="inlineStr">
        <is>
          <t>Not started</t>
        </is>
      </c>
      <c r="AA70" s="8" t="n"/>
      <c r="AB70" s="8" t="n"/>
      <c r="AC70" s="8" t="n"/>
      <c r="AD70" s="8" t="n"/>
      <c r="AE70" s="8" t="n"/>
      <c r="AF70" s="8" t="n"/>
      <c r="AG70" s="8" t="n"/>
      <c r="AH70" s="8" t="n"/>
      <c r="AI70" s="8" t="n"/>
      <c r="AJ70" s="8">
        <f>IF(OR(AH70="",'Submission &amp; QC'!$C$18=""),"",IF(AND(ABS(AH70-'Submission &amp; QC'!$C$18)&lt;=0.0005*ABS('Submission &amp; QC'!$C$18),ABS(AI70-'Submission &amp; QC'!$C$19)&lt;=0.0005*ABS('Submission &amp; QC'!$C$19)),"Pass","Fail"))</f>
        <v/>
      </c>
      <c r="AK70" s="8" t="n"/>
      <c r="AL70" s="8" t="n"/>
    </row>
    <row r="71" ht="225" customHeight="1">
      <c r="A71" s="3" t="inlineStr">
        <is>
          <t>A070</t>
        </is>
      </c>
      <c r="B71" s="7" t="inlineStr">
        <is>
          <t>A</t>
        </is>
      </c>
      <c r="C71" s="3" t="n">
        <v>3</v>
      </c>
      <c r="D71" s="3" t="inlineStr">
        <is>
          <t>Install</t>
        </is>
      </c>
      <c r="E71" s="3" t="inlineStr">
        <is>
          <t>INST-AL-Shallow-Large-Clust-Small</t>
        </is>
      </c>
      <c r="F71" s="3" t="inlineStr">
        <is>
          <t>Install large modules, clustered, shallow (10-30 m), Alabama (west of the Perdido River), small budget ($0.1-1 M)</t>
        </is>
      </c>
      <c r="G71" s="3" t="inlineStr">
        <is>
          <t>Alabama (west of the Perdido River)</t>
        </is>
      </c>
      <c r="H71" s="3" t="inlineStr">
        <is>
          <t>Shallow (10-30 m)</t>
        </is>
      </c>
      <c r="I71" s="3" t="inlineStr">
        <is>
          <t>Large module ($12,000; 20 m2; 6 m tall)</t>
        </is>
      </c>
      <c r="J71" s="3" t="inlineStr">
        <is>
          <t>Clustered (favour cells next to existing modules)</t>
        </is>
      </c>
      <c r="K71" s="3" t="inlineStr">
        <is>
          <t>Small: $0.1-1 M</t>
        </is>
      </c>
      <c r="L71" s="3" t="n"/>
      <c r="M71" s="3" t="n"/>
      <c r="N71" s="3" t="n"/>
      <c r="O71" s="3" t="n"/>
      <c r="P71" s="3" t="n"/>
      <c r="Q71" s="3" t="n"/>
      <c r="R71" s="3" t="inlineStr">
        <is>
          <t>Strategy &gt; Strategy: Install new structures
Installation &gt; Maximum budget per scenario (USD): 1,000,000
Installation &gt; Minimum budget per scenario (USD): 100,000
Installation &gt; How budgets are drawn: Uniform
Installation &gt; East lon: -87.51
Installation &gt; Min depth (m): 10
Installation &gt; Max depth (m): 30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1,070</t>
        </is>
      </c>
      <c r="S71" s="3" t="inlineStr">
        <is>
          <t>A070_INST-AL-Shallow-Large-Clust-Small.json</t>
        </is>
      </c>
      <c r="T71" s="3" t="n">
        <v>100</v>
      </c>
      <c r="U71" s="3" t="n">
        <v>1070</v>
      </c>
      <c r="V71" s="3" t="n">
        <v>123</v>
      </c>
      <c r="W71" s="3" t="n"/>
      <c r="X71" s="3">
        <f>ROUND((T71+1)*'Read me'!$C$14/60,1)</f>
        <v/>
      </c>
      <c r="Y71" s="8" t="n"/>
      <c r="Z71" s="8" t="inlineStr">
        <is>
          <t>Not started</t>
        </is>
      </c>
      <c r="AA71" s="8" t="n"/>
      <c r="AB71" s="8" t="n"/>
      <c r="AC71" s="8" t="n"/>
      <c r="AD71" s="8" t="n"/>
      <c r="AE71" s="8" t="n"/>
      <c r="AF71" s="8" t="n"/>
      <c r="AG71" s="8" t="n"/>
      <c r="AH71" s="8" t="n"/>
      <c r="AI71" s="8" t="n"/>
      <c r="AJ71" s="8">
        <f>IF(OR(AH71="",'Submission &amp; QC'!$C$18=""),"",IF(AND(ABS(AH71-'Submission &amp; QC'!$C$18)&lt;=0.0005*ABS('Submission &amp; QC'!$C$18),ABS(AI71-'Submission &amp; QC'!$C$19)&lt;=0.0005*ABS('Submission &amp; QC'!$C$19)),"Pass","Fail"))</f>
        <v/>
      </c>
      <c r="AK71" s="8" t="n"/>
      <c r="AL71" s="8" t="n"/>
    </row>
    <row r="72" ht="225" customHeight="1">
      <c r="A72" s="3" t="inlineStr">
        <is>
          <t>A071</t>
        </is>
      </c>
      <c r="B72" s="7" t="inlineStr">
        <is>
          <t>A</t>
        </is>
      </c>
      <c r="C72" s="3" t="n">
        <v>3</v>
      </c>
      <c r="D72" s="3" t="inlineStr">
        <is>
          <t>Install</t>
        </is>
      </c>
      <c r="E72" s="3" t="inlineStr">
        <is>
          <t>INST-AL-Shallow-Large-Clust-Medium</t>
        </is>
      </c>
      <c r="F72" s="3" t="inlineStr">
        <is>
          <t>Install large modules, clustered, shallow (10-30 m), Alabama (west of the Perdido River), medium budget ($1-5 M)</t>
        </is>
      </c>
      <c r="G72" s="3" t="inlineStr">
        <is>
          <t>Alabama (west of the Perdido River)</t>
        </is>
      </c>
      <c r="H72" s="3" t="inlineStr">
        <is>
          <t>Shallow (10-30 m)</t>
        </is>
      </c>
      <c r="I72" s="3" t="inlineStr">
        <is>
          <t>Large module ($12,000; 20 m2; 6 m tall)</t>
        </is>
      </c>
      <c r="J72" s="3" t="inlineStr">
        <is>
          <t>Clustered (favour cells next to existing modules)</t>
        </is>
      </c>
      <c r="K72" s="3" t="inlineStr">
        <is>
          <t>Medium: $1-5 M</t>
        </is>
      </c>
      <c r="L72" s="3" t="n"/>
      <c r="M72" s="3" t="n"/>
      <c r="N72" s="3" t="n"/>
      <c r="O72" s="3" t="n"/>
      <c r="P72" s="3" t="n"/>
      <c r="Q72" s="3" t="n"/>
      <c r="R72" s="3" t="inlineStr">
        <is>
          <t>Strategy &gt; Strategy: Install new structures
Installation &gt; Maximum budget per scenario (USD): 5,000,000
Installation &gt; Minimum budget per scenario (USD): 1,000,000
Installation &gt; How budgets are drawn: Uniform
Installation &gt; East lon: -87.51
Installation &gt; Min depth (m): 10
Installation &gt; Max depth (m): 30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1,071</t>
        </is>
      </c>
      <c r="S72" s="3" t="inlineStr">
        <is>
          <t>A071_INST-AL-Shallow-Large-Clust-Medium.json</t>
        </is>
      </c>
      <c r="T72" s="3" t="n">
        <v>100</v>
      </c>
      <c r="U72" s="3" t="n">
        <v>1071</v>
      </c>
      <c r="V72" s="3" t="n">
        <v>123</v>
      </c>
      <c r="W72" s="3" t="n"/>
      <c r="X72" s="3">
        <f>ROUND((T72+1)*'Read me'!$C$14/60,1)</f>
        <v/>
      </c>
      <c r="Y72" s="8" t="n"/>
      <c r="Z72" s="8" t="inlineStr">
        <is>
          <t>Not started</t>
        </is>
      </c>
      <c r="AA72" s="8" t="n"/>
      <c r="AB72" s="8" t="n"/>
      <c r="AC72" s="8" t="n"/>
      <c r="AD72" s="8" t="n"/>
      <c r="AE72" s="8" t="n"/>
      <c r="AF72" s="8" t="n"/>
      <c r="AG72" s="8" t="n"/>
      <c r="AH72" s="8" t="n"/>
      <c r="AI72" s="8" t="n"/>
      <c r="AJ72" s="8">
        <f>IF(OR(AH72="",'Submission &amp; QC'!$C$18=""),"",IF(AND(ABS(AH72-'Submission &amp; QC'!$C$18)&lt;=0.0005*ABS('Submission &amp; QC'!$C$18),ABS(AI72-'Submission &amp; QC'!$C$19)&lt;=0.0005*ABS('Submission &amp; QC'!$C$19)),"Pass","Fail"))</f>
        <v/>
      </c>
      <c r="AK72" s="8" t="n"/>
      <c r="AL72" s="8" t="n"/>
    </row>
    <row r="73" ht="225" customHeight="1">
      <c r="A73" s="3" t="inlineStr">
        <is>
          <t>A072</t>
        </is>
      </c>
      <c r="B73" s="7" t="inlineStr">
        <is>
          <t>A</t>
        </is>
      </c>
      <c r="C73" s="3" t="n">
        <v>3</v>
      </c>
      <c r="D73" s="3" t="inlineStr">
        <is>
          <t>Install</t>
        </is>
      </c>
      <c r="E73" s="3" t="inlineStr">
        <is>
          <t>INST-AL-Shallow-Large-Clust-Large</t>
        </is>
      </c>
      <c r="F73" s="3" t="inlineStr">
        <is>
          <t>Install large modules, clustered, shallow (10-30 m), Alabama (west of the Perdido River), large budget ($5-15 M)</t>
        </is>
      </c>
      <c r="G73" s="3" t="inlineStr">
        <is>
          <t>Alabama (west of the Perdido River)</t>
        </is>
      </c>
      <c r="H73" s="3" t="inlineStr">
        <is>
          <t>Shallow (10-30 m)</t>
        </is>
      </c>
      <c r="I73" s="3" t="inlineStr">
        <is>
          <t>Large module ($12,000; 20 m2; 6 m tall)</t>
        </is>
      </c>
      <c r="J73" s="3" t="inlineStr">
        <is>
          <t>Clustered (favour cells next to existing modules)</t>
        </is>
      </c>
      <c r="K73" s="3" t="inlineStr">
        <is>
          <t>Large: $5-15 M</t>
        </is>
      </c>
      <c r="L73" s="3" t="n"/>
      <c r="M73" s="3" t="n"/>
      <c r="N73" s="3" t="n"/>
      <c r="O73" s="3" t="n"/>
      <c r="P73" s="3" t="n"/>
      <c r="Q73" s="3" t="n"/>
      <c r="R73"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10
Installation &gt; Max depth (m): 30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1,072</t>
        </is>
      </c>
      <c r="S73" s="3" t="inlineStr">
        <is>
          <t>A072_INST-AL-Shallow-Large-Clust-Large.json</t>
        </is>
      </c>
      <c r="T73" s="3" t="n">
        <v>100</v>
      </c>
      <c r="U73" s="3" t="n">
        <v>1072</v>
      </c>
      <c r="V73" s="3" t="n">
        <v>123</v>
      </c>
      <c r="W73" s="3" t="n"/>
      <c r="X73" s="3">
        <f>ROUND((T73+1)*'Read me'!$C$14/60,1)</f>
        <v/>
      </c>
      <c r="Y73" s="8" t="n"/>
      <c r="Z73" s="8" t="inlineStr">
        <is>
          <t>Not started</t>
        </is>
      </c>
      <c r="AA73" s="8" t="n"/>
      <c r="AB73" s="8" t="n"/>
      <c r="AC73" s="8" t="n"/>
      <c r="AD73" s="8" t="n"/>
      <c r="AE73" s="8" t="n"/>
      <c r="AF73" s="8" t="n"/>
      <c r="AG73" s="8" t="n"/>
      <c r="AH73" s="8" t="n"/>
      <c r="AI73" s="8" t="n"/>
      <c r="AJ73" s="8">
        <f>IF(OR(AH73="",'Submission &amp; QC'!$C$18=""),"",IF(AND(ABS(AH73-'Submission &amp; QC'!$C$18)&lt;=0.0005*ABS('Submission &amp; QC'!$C$18),ABS(AI73-'Submission &amp; QC'!$C$19)&lt;=0.0005*ABS('Submission &amp; QC'!$C$19)),"Pass","Fail"))</f>
        <v/>
      </c>
      <c r="AK73" s="8" t="n"/>
      <c r="AL73" s="8" t="n"/>
    </row>
    <row r="74" ht="165" customHeight="1">
      <c r="A74" s="3" t="inlineStr">
        <is>
          <t>A073</t>
        </is>
      </c>
      <c r="B74" s="7" t="inlineStr">
        <is>
          <t>A</t>
        </is>
      </c>
      <c r="C74" s="3" t="n">
        <v>2</v>
      </c>
      <c r="D74" s="3" t="inlineStr">
        <is>
          <t>Install</t>
        </is>
      </c>
      <c r="E74" s="3" t="inlineStr">
        <is>
          <t>INST-AL-Mid-Std-Disp-Small</t>
        </is>
      </c>
      <c r="F74" s="3" t="inlineStr">
        <is>
          <t>Install standard prefab modules, dispersed, mid-shelf (30-60 m), Alabama (west of the Perdido River), small budget ($0.1-1 M)</t>
        </is>
      </c>
      <c r="G74" s="3" t="inlineStr">
        <is>
          <t>Alabama (west of the Perdido River)</t>
        </is>
      </c>
      <c r="H74" s="3" t="inlineStr">
        <is>
          <t>Mid-shelf (30-60 m)</t>
        </is>
      </c>
      <c r="I74" s="3" t="inlineStr">
        <is>
          <t>Standard prefab module ($2,500; 6 m2; 3 m tall)</t>
        </is>
      </c>
      <c r="J74" s="3" t="inlineStr">
        <is>
          <t>Dispersed (no connectivity preference)</t>
        </is>
      </c>
      <c r="K74" s="3" t="inlineStr">
        <is>
          <t>Small: $0.1-1 M</t>
        </is>
      </c>
      <c r="L74" s="3" t="n"/>
      <c r="M74" s="3" t="n"/>
      <c r="N74" s="3" t="n"/>
      <c r="O74" s="3" t="n"/>
      <c r="P74" s="3" t="n"/>
      <c r="Q74" s="3" t="n"/>
      <c r="R74" s="3" t="inlineStr">
        <is>
          <t>Strategy &gt; Strategy: Install new structures
Installation &gt; Maximum budget per scenario (USD): 1,000,000
Installation &gt; Minimum budget per scenario (USD): 100,000
Installation &gt; How budgets are drawn: Uniform
Installation &gt; East lon: -87.51
Installation &gt; Min depth (m): 30
Installation &gt; Max depth (m): 60
Installation &gt; Favour cells next to existing modules: unticked
Live solver / Search &gt; Number of scenarios to run: 100
Search &gt; Search algorithm: Random search
Search &gt; Random seed: 1,073</t>
        </is>
      </c>
      <c r="S74" s="3" t="inlineStr">
        <is>
          <t>A073_INST-AL-Mid-Std-Disp-Small.json</t>
        </is>
      </c>
      <c r="T74" s="3" t="n">
        <v>100</v>
      </c>
      <c r="U74" s="3" t="n">
        <v>1073</v>
      </c>
      <c r="V74" s="3" t="n">
        <v>247</v>
      </c>
      <c r="W74" s="3" t="n"/>
      <c r="X74" s="3">
        <f>ROUND((T74+1)*'Read me'!$C$14/60,1)</f>
        <v/>
      </c>
      <c r="Y74" s="8" t="n"/>
      <c r="Z74" s="8" t="inlineStr">
        <is>
          <t>Not started</t>
        </is>
      </c>
      <c r="AA74" s="8" t="n"/>
      <c r="AB74" s="8" t="n"/>
      <c r="AC74" s="8" t="n"/>
      <c r="AD74" s="8" t="n"/>
      <c r="AE74" s="8" t="n"/>
      <c r="AF74" s="8" t="n"/>
      <c r="AG74" s="8" t="n"/>
      <c r="AH74" s="8" t="n"/>
      <c r="AI74" s="8" t="n"/>
      <c r="AJ74" s="8">
        <f>IF(OR(AH74="",'Submission &amp; QC'!$C$18=""),"",IF(AND(ABS(AH74-'Submission &amp; QC'!$C$18)&lt;=0.0005*ABS('Submission &amp; QC'!$C$18),ABS(AI74-'Submission &amp; QC'!$C$19)&lt;=0.0005*ABS('Submission &amp; QC'!$C$19)),"Pass","Fail"))</f>
        <v/>
      </c>
      <c r="AK74" s="8" t="n"/>
      <c r="AL74" s="8" t="n"/>
    </row>
    <row r="75" ht="165" customHeight="1">
      <c r="A75" s="3" t="inlineStr">
        <is>
          <t>A074</t>
        </is>
      </c>
      <c r="B75" s="7" t="inlineStr">
        <is>
          <t>A</t>
        </is>
      </c>
      <c r="C75" s="3" t="n">
        <v>2</v>
      </c>
      <c r="D75" s="3" t="inlineStr">
        <is>
          <t>Install</t>
        </is>
      </c>
      <c r="E75" s="3" t="inlineStr">
        <is>
          <t>INST-AL-Mid-Std-Disp-Medium</t>
        </is>
      </c>
      <c r="F75" s="3" t="inlineStr">
        <is>
          <t>Install standard prefab modules, dispersed, mid-shelf (30-60 m), Alabama (west of the Perdido River), medium budget ($1-5 M)</t>
        </is>
      </c>
      <c r="G75" s="3" t="inlineStr">
        <is>
          <t>Alabama (west of the Perdido River)</t>
        </is>
      </c>
      <c r="H75" s="3" t="inlineStr">
        <is>
          <t>Mid-shelf (30-60 m)</t>
        </is>
      </c>
      <c r="I75" s="3" t="inlineStr">
        <is>
          <t>Standard prefab module ($2,500; 6 m2; 3 m tall)</t>
        </is>
      </c>
      <c r="J75" s="3" t="inlineStr">
        <is>
          <t>Dispersed (no connectivity preference)</t>
        </is>
      </c>
      <c r="K75" s="3" t="inlineStr">
        <is>
          <t>Medium: $1-5 M</t>
        </is>
      </c>
      <c r="L75" s="3" t="n"/>
      <c r="M75" s="3" t="n"/>
      <c r="N75" s="3" t="n"/>
      <c r="O75" s="3" t="n"/>
      <c r="P75" s="3" t="n"/>
      <c r="Q75" s="3" t="n"/>
      <c r="R75" s="3" t="inlineStr">
        <is>
          <t>Strategy &gt; Strategy: Install new structures
Installation &gt; Maximum budget per scenario (USD): 5,000,000
Installation &gt; Minimum budget per scenario (USD): 1,000,000
Installation &gt; How budgets are drawn: Uniform
Installation &gt; East lon: -87.51
Installation &gt; Min depth (m): 30
Installation &gt; Max depth (m): 60
Installation &gt; Favour cells next to existing modules: unticked
Live solver / Search &gt; Number of scenarios to run: 100
Search &gt; Search algorithm: Random search
Search &gt; Random seed: 1,074</t>
        </is>
      </c>
      <c r="S75" s="3" t="inlineStr">
        <is>
          <t>A074_INST-AL-Mid-Std-Disp-Medium.json</t>
        </is>
      </c>
      <c r="T75" s="3" t="n">
        <v>100</v>
      </c>
      <c r="U75" s="3" t="n">
        <v>1074</v>
      </c>
      <c r="V75" s="3" t="n">
        <v>247</v>
      </c>
      <c r="W75" s="3" t="n"/>
      <c r="X75" s="3">
        <f>ROUND((T75+1)*'Read me'!$C$14/60,1)</f>
        <v/>
      </c>
      <c r="Y75" s="8" t="n"/>
      <c r="Z75" s="8" t="inlineStr">
        <is>
          <t>Not started</t>
        </is>
      </c>
      <c r="AA75" s="8" t="n"/>
      <c r="AB75" s="8" t="n"/>
      <c r="AC75" s="8" t="n"/>
      <c r="AD75" s="8" t="n"/>
      <c r="AE75" s="8" t="n"/>
      <c r="AF75" s="8" t="n"/>
      <c r="AG75" s="8" t="n"/>
      <c r="AH75" s="8" t="n"/>
      <c r="AI75" s="8" t="n"/>
      <c r="AJ75" s="8">
        <f>IF(OR(AH75="",'Submission &amp; QC'!$C$18=""),"",IF(AND(ABS(AH75-'Submission &amp; QC'!$C$18)&lt;=0.0005*ABS('Submission &amp; QC'!$C$18),ABS(AI75-'Submission &amp; QC'!$C$19)&lt;=0.0005*ABS('Submission &amp; QC'!$C$19)),"Pass","Fail"))</f>
        <v/>
      </c>
      <c r="AK75" s="8" t="n"/>
      <c r="AL75" s="8" t="n"/>
    </row>
    <row r="76" ht="165" customHeight="1">
      <c r="A76" s="3" t="inlineStr">
        <is>
          <t>A075</t>
        </is>
      </c>
      <c r="B76" s="7" t="inlineStr">
        <is>
          <t>A</t>
        </is>
      </c>
      <c r="C76" s="3" t="n">
        <v>2</v>
      </c>
      <c r="D76" s="3" t="inlineStr">
        <is>
          <t>Install</t>
        </is>
      </c>
      <c r="E76" s="3" t="inlineStr">
        <is>
          <t>INST-AL-Mid-Std-Disp-Large</t>
        </is>
      </c>
      <c r="F76" s="3" t="inlineStr">
        <is>
          <t>Install standard prefab modules, dispersed, mid-shelf (30-60 m), Alabama (west of the Perdido River), large budget ($5-15 M)</t>
        </is>
      </c>
      <c r="G76" s="3" t="inlineStr">
        <is>
          <t>Alabama (west of the Perdido River)</t>
        </is>
      </c>
      <c r="H76" s="3" t="inlineStr">
        <is>
          <t>Mid-shelf (30-60 m)</t>
        </is>
      </c>
      <c r="I76" s="3" t="inlineStr">
        <is>
          <t>Standard prefab module ($2,500; 6 m2; 3 m tall)</t>
        </is>
      </c>
      <c r="J76" s="3" t="inlineStr">
        <is>
          <t>Dispersed (no connectivity preference)</t>
        </is>
      </c>
      <c r="K76" s="3" t="inlineStr">
        <is>
          <t>Large: $5-15 M</t>
        </is>
      </c>
      <c r="L76" s="3" t="n"/>
      <c r="M76" s="3" t="n"/>
      <c r="N76" s="3" t="n"/>
      <c r="O76" s="3" t="n"/>
      <c r="P76" s="3" t="n"/>
      <c r="Q76" s="3" t="n"/>
      <c r="R76"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30
Installation &gt; Max depth (m): 60
Installation &gt; Favour cells next to existing modules: unticked
Live solver / Search &gt; Number of scenarios to run: 100
Search &gt; Search algorithm: Random search
Search &gt; Random seed: 1,075</t>
        </is>
      </c>
      <c r="S76" s="3" t="inlineStr">
        <is>
          <t>A075_INST-AL-Mid-Std-Disp-Large.json</t>
        </is>
      </c>
      <c r="T76" s="3" t="n">
        <v>100</v>
      </c>
      <c r="U76" s="3" t="n">
        <v>1075</v>
      </c>
      <c r="V76" s="3" t="n">
        <v>247</v>
      </c>
      <c r="W76" s="3" t="n"/>
      <c r="X76" s="3">
        <f>ROUND((T76+1)*'Read me'!$C$14/60,1)</f>
        <v/>
      </c>
      <c r="Y76" s="8" t="n"/>
      <c r="Z76" s="8" t="inlineStr">
        <is>
          <t>Not started</t>
        </is>
      </c>
      <c r="AA76" s="8" t="n"/>
      <c r="AB76" s="8" t="n"/>
      <c r="AC76" s="8" t="n"/>
      <c r="AD76" s="8" t="n"/>
      <c r="AE76" s="8" t="n"/>
      <c r="AF76" s="8" t="n"/>
      <c r="AG76" s="8" t="n"/>
      <c r="AH76" s="8" t="n"/>
      <c r="AI76" s="8" t="n"/>
      <c r="AJ76" s="8">
        <f>IF(OR(AH76="",'Submission &amp; QC'!$C$18=""),"",IF(AND(ABS(AH76-'Submission &amp; QC'!$C$18)&lt;=0.0005*ABS('Submission &amp; QC'!$C$18),ABS(AI76-'Submission &amp; QC'!$C$19)&lt;=0.0005*ABS('Submission &amp; QC'!$C$19)),"Pass","Fail"))</f>
        <v/>
      </c>
      <c r="AK76" s="8" t="n"/>
      <c r="AL76" s="8" t="n"/>
    </row>
    <row r="77" ht="180" customHeight="1">
      <c r="A77" s="3" t="inlineStr">
        <is>
          <t>A076</t>
        </is>
      </c>
      <c r="B77" s="7" t="inlineStr">
        <is>
          <t>A</t>
        </is>
      </c>
      <c r="C77" s="3" t="n">
        <v>2</v>
      </c>
      <c r="D77" s="3" t="inlineStr">
        <is>
          <t>Install</t>
        </is>
      </c>
      <c r="E77" s="3" t="inlineStr">
        <is>
          <t>INST-AL-Mid-Std-Clust-Small</t>
        </is>
      </c>
      <c r="F77" s="3" t="inlineStr">
        <is>
          <t>Install standard prefab modules, clustered, mid-shelf (30-60 m), Alabama (west of the Perdido River), small budget ($0.1-1 M)</t>
        </is>
      </c>
      <c r="G77" s="3" t="inlineStr">
        <is>
          <t>Alabama (west of the Perdido River)</t>
        </is>
      </c>
      <c r="H77" s="3" t="inlineStr">
        <is>
          <t>Mid-shelf (30-60 m)</t>
        </is>
      </c>
      <c r="I77" s="3" t="inlineStr">
        <is>
          <t>Standard prefab module ($2,500; 6 m2; 3 m tall)</t>
        </is>
      </c>
      <c r="J77" s="3" t="inlineStr">
        <is>
          <t>Clustered (favour cells next to existing modules)</t>
        </is>
      </c>
      <c r="K77" s="3" t="inlineStr">
        <is>
          <t>Small: $0.1-1 M</t>
        </is>
      </c>
      <c r="L77" s="3" t="n"/>
      <c r="M77" s="3" t="n"/>
      <c r="N77" s="3" t="n"/>
      <c r="O77" s="3" t="n"/>
      <c r="P77" s="3" t="n"/>
      <c r="Q77" s="3" t="n"/>
      <c r="R77" s="3" t="inlineStr">
        <is>
          <t>Strategy &gt; Strategy: Install new structures
Installation &gt; Maximum budget per scenario (USD): 1,000,000
Installation &gt; Minimum budget per scenario (USD): 100,000
Installation &gt; How budgets are drawn: Uniform
Installation &gt; East lon: -87.51
Installation &gt; Min depth (m): 30
Installation &gt; Max depth (m): 60
Installation &gt; Favour cells next to existing modules: ticked
Installation &gt; Connectivity bonus: 10
Live solver / Search &gt; Number of scenarios to run: 100
Search &gt; Search algorithm: Random search
Search &gt; Random seed: 1,076</t>
        </is>
      </c>
      <c r="S77" s="3" t="inlineStr">
        <is>
          <t>A076_INST-AL-Mid-Std-Clust-Small.json</t>
        </is>
      </c>
      <c r="T77" s="3" t="n">
        <v>100</v>
      </c>
      <c r="U77" s="3" t="n">
        <v>1076</v>
      </c>
      <c r="V77" s="3" t="n">
        <v>247</v>
      </c>
      <c r="W77" s="3" t="n"/>
      <c r="X77" s="3">
        <f>ROUND((T77+1)*'Read me'!$C$14/60,1)</f>
        <v/>
      </c>
      <c r="Y77" s="8" t="n"/>
      <c r="Z77" s="8" t="inlineStr">
        <is>
          <t>Not started</t>
        </is>
      </c>
      <c r="AA77" s="8" t="n"/>
      <c r="AB77" s="8" t="n"/>
      <c r="AC77" s="8" t="n"/>
      <c r="AD77" s="8" t="n"/>
      <c r="AE77" s="8" t="n"/>
      <c r="AF77" s="8" t="n"/>
      <c r="AG77" s="8" t="n"/>
      <c r="AH77" s="8" t="n"/>
      <c r="AI77" s="8" t="n"/>
      <c r="AJ77" s="8">
        <f>IF(OR(AH77="",'Submission &amp; QC'!$C$18=""),"",IF(AND(ABS(AH77-'Submission &amp; QC'!$C$18)&lt;=0.0005*ABS('Submission &amp; QC'!$C$18),ABS(AI77-'Submission &amp; QC'!$C$19)&lt;=0.0005*ABS('Submission &amp; QC'!$C$19)),"Pass","Fail"))</f>
        <v/>
      </c>
      <c r="AK77" s="8" t="n"/>
      <c r="AL77" s="8" t="n"/>
    </row>
    <row r="78" ht="180" customHeight="1">
      <c r="A78" s="3" t="inlineStr">
        <is>
          <t>A077</t>
        </is>
      </c>
      <c r="B78" s="7" t="inlineStr">
        <is>
          <t>A</t>
        </is>
      </c>
      <c r="C78" s="3" t="n">
        <v>2</v>
      </c>
      <c r="D78" s="3" t="inlineStr">
        <is>
          <t>Install</t>
        </is>
      </c>
      <c r="E78" s="3" t="inlineStr">
        <is>
          <t>INST-AL-Mid-Std-Clust-Medium</t>
        </is>
      </c>
      <c r="F78" s="3" t="inlineStr">
        <is>
          <t>Install standard prefab modules, clustered, mid-shelf (30-60 m), Alabama (west of the Perdido River), medium budget ($1-5 M)</t>
        </is>
      </c>
      <c r="G78" s="3" t="inlineStr">
        <is>
          <t>Alabama (west of the Perdido River)</t>
        </is>
      </c>
      <c r="H78" s="3" t="inlineStr">
        <is>
          <t>Mid-shelf (30-60 m)</t>
        </is>
      </c>
      <c r="I78" s="3" t="inlineStr">
        <is>
          <t>Standard prefab module ($2,500; 6 m2; 3 m tall)</t>
        </is>
      </c>
      <c r="J78" s="3" t="inlineStr">
        <is>
          <t>Clustered (favour cells next to existing modules)</t>
        </is>
      </c>
      <c r="K78" s="3" t="inlineStr">
        <is>
          <t>Medium: $1-5 M</t>
        </is>
      </c>
      <c r="L78" s="3" t="n"/>
      <c r="M78" s="3" t="n"/>
      <c r="N78" s="3" t="n"/>
      <c r="O78" s="3" t="n"/>
      <c r="P78" s="3" t="n"/>
      <c r="Q78" s="3" t="n"/>
      <c r="R78" s="3" t="inlineStr">
        <is>
          <t>Strategy &gt; Strategy: Install new structures
Installation &gt; Maximum budget per scenario (USD): 5,000,000
Installation &gt; Minimum budget per scenario (USD): 1,000,000
Installation &gt; How budgets are drawn: Uniform
Installation &gt; East lon: -87.51
Installation &gt; Min depth (m): 30
Installation &gt; Max depth (m): 60
Installation &gt; Favour cells next to existing modules: ticked
Installation &gt; Connectivity bonus: 10
Live solver / Search &gt; Number of scenarios to run: 100
Search &gt; Search algorithm: Random search
Search &gt; Random seed: 1,077</t>
        </is>
      </c>
      <c r="S78" s="3" t="inlineStr">
        <is>
          <t>A077_INST-AL-Mid-Std-Clust-Medium.json</t>
        </is>
      </c>
      <c r="T78" s="3" t="n">
        <v>100</v>
      </c>
      <c r="U78" s="3" t="n">
        <v>1077</v>
      </c>
      <c r="V78" s="3" t="n">
        <v>247</v>
      </c>
      <c r="W78" s="3" t="n"/>
      <c r="X78" s="3">
        <f>ROUND((T78+1)*'Read me'!$C$14/60,1)</f>
        <v/>
      </c>
      <c r="Y78" s="8" t="n"/>
      <c r="Z78" s="8" t="inlineStr">
        <is>
          <t>Not started</t>
        </is>
      </c>
      <c r="AA78" s="8" t="n"/>
      <c r="AB78" s="8" t="n"/>
      <c r="AC78" s="8" t="n"/>
      <c r="AD78" s="8" t="n"/>
      <c r="AE78" s="8" t="n"/>
      <c r="AF78" s="8" t="n"/>
      <c r="AG78" s="8" t="n"/>
      <c r="AH78" s="8" t="n"/>
      <c r="AI78" s="8" t="n"/>
      <c r="AJ78" s="8">
        <f>IF(OR(AH78="",'Submission &amp; QC'!$C$18=""),"",IF(AND(ABS(AH78-'Submission &amp; QC'!$C$18)&lt;=0.0005*ABS('Submission &amp; QC'!$C$18),ABS(AI78-'Submission &amp; QC'!$C$19)&lt;=0.0005*ABS('Submission &amp; QC'!$C$19)),"Pass","Fail"))</f>
        <v/>
      </c>
      <c r="AK78" s="8" t="n"/>
      <c r="AL78" s="8" t="n"/>
    </row>
    <row r="79" ht="180" customHeight="1">
      <c r="A79" s="3" t="inlineStr">
        <is>
          <t>A078</t>
        </is>
      </c>
      <c r="B79" s="7" t="inlineStr">
        <is>
          <t>A</t>
        </is>
      </c>
      <c r="C79" s="3" t="n">
        <v>2</v>
      </c>
      <c r="D79" s="3" t="inlineStr">
        <is>
          <t>Install</t>
        </is>
      </c>
      <c r="E79" s="3" t="inlineStr">
        <is>
          <t>INST-AL-Mid-Std-Clust-Large</t>
        </is>
      </c>
      <c r="F79" s="3" t="inlineStr">
        <is>
          <t>Install standard prefab modules, clustered, mid-shelf (30-60 m), Alabama (west of the Perdido River), large budget ($5-15 M)</t>
        </is>
      </c>
      <c r="G79" s="3" t="inlineStr">
        <is>
          <t>Alabama (west of the Perdido River)</t>
        </is>
      </c>
      <c r="H79" s="3" t="inlineStr">
        <is>
          <t>Mid-shelf (30-60 m)</t>
        </is>
      </c>
      <c r="I79" s="3" t="inlineStr">
        <is>
          <t>Standard prefab module ($2,500; 6 m2; 3 m tall)</t>
        </is>
      </c>
      <c r="J79" s="3" t="inlineStr">
        <is>
          <t>Clustered (favour cells next to existing modules)</t>
        </is>
      </c>
      <c r="K79" s="3" t="inlineStr">
        <is>
          <t>Large: $5-15 M</t>
        </is>
      </c>
      <c r="L79" s="3" t="n"/>
      <c r="M79" s="3" t="n"/>
      <c r="N79" s="3" t="n"/>
      <c r="O79" s="3" t="n"/>
      <c r="P79" s="3" t="n"/>
      <c r="Q79" s="3" t="n"/>
      <c r="R79"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30
Installation &gt; Max depth (m): 60
Installation &gt; Favour cells next to existing modules: ticked
Installation &gt; Connectivity bonus: 10
Live solver / Search &gt; Number of scenarios to run: 100
Search &gt; Search algorithm: Random search
Search &gt; Random seed: 1,078</t>
        </is>
      </c>
      <c r="S79" s="3" t="inlineStr">
        <is>
          <t>A078_INST-AL-Mid-Std-Clust-Large.json</t>
        </is>
      </c>
      <c r="T79" s="3" t="n">
        <v>100</v>
      </c>
      <c r="U79" s="3" t="n">
        <v>1078</v>
      </c>
      <c r="V79" s="3" t="n">
        <v>247</v>
      </c>
      <c r="W79" s="3" t="n"/>
      <c r="X79" s="3">
        <f>ROUND((T79+1)*'Read me'!$C$14/60,1)</f>
        <v/>
      </c>
      <c r="Y79" s="8" t="n"/>
      <c r="Z79" s="8" t="inlineStr">
        <is>
          <t>Not started</t>
        </is>
      </c>
      <c r="AA79" s="8" t="n"/>
      <c r="AB79" s="8" t="n"/>
      <c r="AC79" s="8" t="n"/>
      <c r="AD79" s="8" t="n"/>
      <c r="AE79" s="8" t="n"/>
      <c r="AF79" s="8" t="n"/>
      <c r="AG79" s="8" t="n"/>
      <c r="AH79" s="8" t="n"/>
      <c r="AI79" s="8" t="n"/>
      <c r="AJ79" s="8">
        <f>IF(OR(AH79="",'Submission &amp; QC'!$C$18=""),"",IF(AND(ABS(AH79-'Submission &amp; QC'!$C$18)&lt;=0.0005*ABS('Submission &amp; QC'!$C$18),ABS(AI79-'Submission &amp; QC'!$C$19)&lt;=0.0005*ABS('Submission &amp; QC'!$C$19)),"Pass","Fail"))</f>
        <v/>
      </c>
      <c r="AK79" s="8" t="n"/>
      <c r="AL79" s="8" t="n"/>
    </row>
    <row r="80" ht="210" customHeight="1">
      <c r="A80" s="3" t="inlineStr">
        <is>
          <t>A079</t>
        </is>
      </c>
      <c r="B80" s="7" t="inlineStr">
        <is>
          <t>A</t>
        </is>
      </c>
      <c r="C80" s="3" t="n">
        <v>3</v>
      </c>
      <c r="D80" s="3" t="inlineStr">
        <is>
          <t>Install</t>
        </is>
      </c>
      <c r="E80" s="3" t="inlineStr">
        <is>
          <t>INST-AL-Mid-Large-Disp-Small</t>
        </is>
      </c>
      <c r="F80" s="3" t="inlineStr">
        <is>
          <t>Install large modules, dispersed, mid-shelf (30-60 m), Alabama (west of the Perdido River), small budget ($0.1-1 M)</t>
        </is>
      </c>
      <c r="G80" s="3" t="inlineStr">
        <is>
          <t>Alabama (west of the Perdido River)</t>
        </is>
      </c>
      <c r="H80" s="3" t="inlineStr">
        <is>
          <t>Mid-shelf (30-60 m)</t>
        </is>
      </c>
      <c r="I80" s="3" t="inlineStr">
        <is>
          <t>Large module ($12,000; 20 m2; 6 m tall)</t>
        </is>
      </c>
      <c r="J80" s="3" t="inlineStr">
        <is>
          <t>Dispersed (no connectivity preference)</t>
        </is>
      </c>
      <c r="K80" s="3" t="inlineStr">
        <is>
          <t>Small: $0.1-1 M</t>
        </is>
      </c>
      <c r="L80" s="3" t="n"/>
      <c r="M80" s="3" t="n"/>
      <c r="N80" s="3" t="n"/>
      <c r="O80" s="3" t="n"/>
      <c r="P80" s="3" t="n"/>
      <c r="Q80" s="3" t="n"/>
      <c r="R80" s="3" t="inlineStr">
        <is>
          <t>Strategy &gt; Strategy: Install new structures
Installation &gt; Maximum budget per scenario (USD): 1,000,000
Installation &gt; Minimum budget per scenario (USD): 100,000
Installation &gt; How budgets are drawn: Uniform
Installation &gt; East lon: -87.51
Installation &gt; Min depth (m): 30
Installation &gt; Max depth (m): 60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1,079</t>
        </is>
      </c>
      <c r="S80" s="3" t="inlineStr">
        <is>
          <t>A079_INST-AL-Mid-Large-Disp-Small.json</t>
        </is>
      </c>
      <c r="T80" s="3" t="n">
        <v>100</v>
      </c>
      <c r="U80" s="3" t="n">
        <v>1079</v>
      </c>
      <c r="V80" s="3" t="n">
        <v>247</v>
      </c>
      <c r="W80" s="3" t="n"/>
      <c r="X80" s="3">
        <f>ROUND((T80+1)*'Read me'!$C$14/60,1)</f>
        <v/>
      </c>
      <c r="Y80" s="8" t="n"/>
      <c r="Z80" s="8" t="inlineStr">
        <is>
          <t>Not started</t>
        </is>
      </c>
      <c r="AA80" s="8" t="n"/>
      <c r="AB80" s="8" t="n"/>
      <c r="AC80" s="8" t="n"/>
      <c r="AD80" s="8" t="n"/>
      <c r="AE80" s="8" t="n"/>
      <c r="AF80" s="8" t="n"/>
      <c r="AG80" s="8" t="n"/>
      <c r="AH80" s="8" t="n"/>
      <c r="AI80" s="8" t="n"/>
      <c r="AJ80" s="8">
        <f>IF(OR(AH80="",'Submission &amp; QC'!$C$18=""),"",IF(AND(ABS(AH80-'Submission &amp; QC'!$C$18)&lt;=0.0005*ABS('Submission &amp; QC'!$C$18),ABS(AI80-'Submission &amp; QC'!$C$19)&lt;=0.0005*ABS('Submission &amp; QC'!$C$19)),"Pass","Fail"))</f>
        <v/>
      </c>
      <c r="AK80" s="8" t="n"/>
      <c r="AL80" s="8" t="n"/>
    </row>
    <row r="81" ht="210" customHeight="1">
      <c r="A81" s="3" t="inlineStr">
        <is>
          <t>A080</t>
        </is>
      </c>
      <c r="B81" s="7" t="inlineStr">
        <is>
          <t>A</t>
        </is>
      </c>
      <c r="C81" s="3" t="n">
        <v>3</v>
      </c>
      <c r="D81" s="3" t="inlineStr">
        <is>
          <t>Install</t>
        </is>
      </c>
      <c r="E81" s="3" t="inlineStr">
        <is>
          <t>INST-AL-Mid-Large-Disp-Medium</t>
        </is>
      </c>
      <c r="F81" s="3" t="inlineStr">
        <is>
          <t>Install large modules, dispersed, mid-shelf (30-60 m), Alabama (west of the Perdido River), medium budget ($1-5 M)</t>
        </is>
      </c>
      <c r="G81" s="3" t="inlineStr">
        <is>
          <t>Alabama (west of the Perdido River)</t>
        </is>
      </c>
      <c r="H81" s="3" t="inlineStr">
        <is>
          <t>Mid-shelf (30-60 m)</t>
        </is>
      </c>
      <c r="I81" s="3" t="inlineStr">
        <is>
          <t>Large module ($12,000; 20 m2; 6 m tall)</t>
        </is>
      </c>
      <c r="J81" s="3" t="inlineStr">
        <is>
          <t>Dispersed (no connectivity preference)</t>
        </is>
      </c>
      <c r="K81" s="3" t="inlineStr">
        <is>
          <t>Medium: $1-5 M</t>
        </is>
      </c>
      <c r="L81" s="3" t="n"/>
      <c r="M81" s="3" t="n"/>
      <c r="N81" s="3" t="n"/>
      <c r="O81" s="3" t="n"/>
      <c r="P81" s="3" t="n"/>
      <c r="Q81" s="3" t="n"/>
      <c r="R81" s="3" t="inlineStr">
        <is>
          <t>Strategy &gt; Strategy: Install new structures
Installation &gt; Maximum budget per scenario (USD): 5,000,000
Installation &gt; Minimum budget per scenario (USD): 1,000,000
Installation &gt; How budgets are drawn: Uniform
Installation &gt; East lon: -87.51
Installation &gt; Min depth (m): 30
Installation &gt; Max depth (m): 60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1,080</t>
        </is>
      </c>
      <c r="S81" s="3" t="inlineStr">
        <is>
          <t>A080_INST-AL-Mid-Large-Disp-Medium.json</t>
        </is>
      </c>
      <c r="T81" s="3" t="n">
        <v>100</v>
      </c>
      <c r="U81" s="3" t="n">
        <v>1080</v>
      </c>
      <c r="V81" s="3" t="n">
        <v>247</v>
      </c>
      <c r="W81" s="3" t="n"/>
      <c r="X81" s="3">
        <f>ROUND((T81+1)*'Read me'!$C$14/60,1)</f>
        <v/>
      </c>
      <c r="Y81" s="8" t="n"/>
      <c r="Z81" s="8" t="inlineStr">
        <is>
          <t>Not started</t>
        </is>
      </c>
      <c r="AA81" s="8" t="n"/>
      <c r="AB81" s="8" t="n"/>
      <c r="AC81" s="8" t="n"/>
      <c r="AD81" s="8" t="n"/>
      <c r="AE81" s="8" t="n"/>
      <c r="AF81" s="8" t="n"/>
      <c r="AG81" s="8" t="n"/>
      <c r="AH81" s="8" t="n"/>
      <c r="AI81" s="8" t="n"/>
      <c r="AJ81" s="8">
        <f>IF(OR(AH81="",'Submission &amp; QC'!$C$18=""),"",IF(AND(ABS(AH81-'Submission &amp; QC'!$C$18)&lt;=0.0005*ABS('Submission &amp; QC'!$C$18),ABS(AI81-'Submission &amp; QC'!$C$19)&lt;=0.0005*ABS('Submission &amp; QC'!$C$19)),"Pass","Fail"))</f>
        <v/>
      </c>
      <c r="AK81" s="8" t="n"/>
      <c r="AL81" s="8" t="n"/>
    </row>
    <row r="82" ht="210" customHeight="1">
      <c r="A82" s="3" t="inlineStr">
        <is>
          <t>A081</t>
        </is>
      </c>
      <c r="B82" s="7" t="inlineStr">
        <is>
          <t>A</t>
        </is>
      </c>
      <c r="C82" s="3" t="n">
        <v>3</v>
      </c>
      <c r="D82" s="3" t="inlineStr">
        <is>
          <t>Install</t>
        </is>
      </c>
      <c r="E82" s="3" t="inlineStr">
        <is>
          <t>INST-AL-Mid-Large-Disp-Large</t>
        </is>
      </c>
      <c r="F82" s="3" t="inlineStr">
        <is>
          <t>Install large modules, dispersed, mid-shelf (30-60 m), Alabama (west of the Perdido River), large budget ($5-15 M)</t>
        </is>
      </c>
      <c r="G82" s="3" t="inlineStr">
        <is>
          <t>Alabama (west of the Perdido River)</t>
        </is>
      </c>
      <c r="H82" s="3" t="inlineStr">
        <is>
          <t>Mid-shelf (30-60 m)</t>
        </is>
      </c>
      <c r="I82" s="3" t="inlineStr">
        <is>
          <t>Large module ($12,000; 20 m2; 6 m tall)</t>
        </is>
      </c>
      <c r="J82" s="3" t="inlineStr">
        <is>
          <t>Dispersed (no connectivity preference)</t>
        </is>
      </c>
      <c r="K82" s="3" t="inlineStr">
        <is>
          <t>Large: $5-15 M</t>
        </is>
      </c>
      <c r="L82" s="3" t="n"/>
      <c r="M82" s="3" t="n"/>
      <c r="N82" s="3" t="n"/>
      <c r="O82" s="3" t="n"/>
      <c r="P82" s="3" t="n"/>
      <c r="Q82" s="3" t="n"/>
      <c r="R82"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30
Installation &gt; Max depth (m): 60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1,081</t>
        </is>
      </c>
      <c r="S82" s="3" t="inlineStr">
        <is>
          <t>A081_INST-AL-Mid-Large-Disp-Large.json</t>
        </is>
      </c>
      <c r="T82" s="3" t="n">
        <v>100</v>
      </c>
      <c r="U82" s="3" t="n">
        <v>1081</v>
      </c>
      <c r="V82" s="3" t="n">
        <v>247</v>
      </c>
      <c r="W82" s="3" t="n"/>
      <c r="X82" s="3">
        <f>ROUND((T82+1)*'Read me'!$C$14/60,1)</f>
        <v/>
      </c>
      <c r="Y82" s="8" t="n"/>
      <c r="Z82" s="8" t="inlineStr">
        <is>
          <t>Not started</t>
        </is>
      </c>
      <c r="AA82" s="8" t="n"/>
      <c r="AB82" s="8" t="n"/>
      <c r="AC82" s="8" t="n"/>
      <c r="AD82" s="8" t="n"/>
      <c r="AE82" s="8" t="n"/>
      <c r="AF82" s="8" t="n"/>
      <c r="AG82" s="8" t="n"/>
      <c r="AH82" s="8" t="n"/>
      <c r="AI82" s="8" t="n"/>
      <c r="AJ82" s="8">
        <f>IF(OR(AH82="",'Submission &amp; QC'!$C$18=""),"",IF(AND(ABS(AH82-'Submission &amp; QC'!$C$18)&lt;=0.0005*ABS('Submission &amp; QC'!$C$18),ABS(AI82-'Submission &amp; QC'!$C$19)&lt;=0.0005*ABS('Submission &amp; QC'!$C$19)),"Pass","Fail"))</f>
        <v/>
      </c>
      <c r="AK82" s="8" t="n"/>
      <c r="AL82" s="8" t="n"/>
    </row>
    <row r="83" ht="225" customHeight="1">
      <c r="A83" s="3" t="inlineStr">
        <is>
          <t>A082</t>
        </is>
      </c>
      <c r="B83" s="7" t="inlineStr">
        <is>
          <t>A</t>
        </is>
      </c>
      <c r="C83" s="3" t="n">
        <v>3</v>
      </c>
      <c r="D83" s="3" t="inlineStr">
        <is>
          <t>Install</t>
        </is>
      </c>
      <c r="E83" s="3" t="inlineStr">
        <is>
          <t>INST-AL-Mid-Large-Clust-Small</t>
        </is>
      </c>
      <c r="F83" s="3" t="inlineStr">
        <is>
          <t>Install large modules, clustered, mid-shelf (30-60 m), Alabama (west of the Perdido River), small budget ($0.1-1 M)</t>
        </is>
      </c>
      <c r="G83" s="3" t="inlineStr">
        <is>
          <t>Alabama (west of the Perdido River)</t>
        </is>
      </c>
      <c r="H83" s="3" t="inlineStr">
        <is>
          <t>Mid-shelf (30-60 m)</t>
        </is>
      </c>
      <c r="I83" s="3" t="inlineStr">
        <is>
          <t>Large module ($12,000; 20 m2; 6 m tall)</t>
        </is>
      </c>
      <c r="J83" s="3" t="inlineStr">
        <is>
          <t>Clustered (favour cells next to existing modules)</t>
        </is>
      </c>
      <c r="K83" s="3" t="inlineStr">
        <is>
          <t>Small: $0.1-1 M</t>
        </is>
      </c>
      <c r="L83" s="3" t="n"/>
      <c r="M83" s="3" t="n"/>
      <c r="N83" s="3" t="n"/>
      <c r="O83" s="3" t="n"/>
      <c r="P83" s="3" t="n"/>
      <c r="Q83" s="3" t="n"/>
      <c r="R83" s="3" t="inlineStr">
        <is>
          <t>Strategy &gt; Strategy: Install new structures
Installation &gt; Maximum budget per scenario (USD): 1,000,000
Installation &gt; Minimum budget per scenario (USD): 100,000
Installation &gt; How budgets are drawn: Uniform
Installation &gt; East lon: -87.51
Installation &gt; Min depth (m): 30
Installation &gt; Max depth (m): 60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1,082</t>
        </is>
      </c>
      <c r="S83" s="3" t="inlineStr">
        <is>
          <t>A082_INST-AL-Mid-Large-Clust-Small.json</t>
        </is>
      </c>
      <c r="T83" s="3" t="n">
        <v>100</v>
      </c>
      <c r="U83" s="3" t="n">
        <v>1082</v>
      </c>
      <c r="V83" s="3" t="n">
        <v>247</v>
      </c>
      <c r="W83" s="3" t="n"/>
      <c r="X83" s="3">
        <f>ROUND((T83+1)*'Read me'!$C$14/60,1)</f>
        <v/>
      </c>
      <c r="Y83" s="8" t="n"/>
      <c r="Z83" s="8" t="inlineStr">
        <is>
          <t>Not started</t>
        </is>
      </c>
      <c r="AA83" s="8" t="n"/>
      <c r="AB83" s="8" t="n"/>
      <c r="AC83" s="8" t="n"/>
      <c r="AD83" s="8" t="n"/>
      <c r="AE83" s="8" t="n"/>
      <c r="AF83" s="8" t="n"/>
      <c r="AG83" s="8" t="n"/>
      <c r="AH83" s="8" t="n"/>
      <c r="AI83" s="8" t="n"/>
      <c r="AJ83" s="8">
        <f>IF(OR(AH83="",'Submission &amp; QC'!$C$18=""),"",IF(AND(ABS(AH83-'Submission &amp; QC'!$C$18)&lt;=0.0005*ABS('Submission &amp; QC'!$C$18),ABS(AI83-'Submission &amp; QC'!$C$19)&lt;=0.0005*ABS('Submission &amp; QC'!$C$19)),"Pass","Fail"))</f>
        <v/>
      </c>
      <c r="AK83" s="8" t="n"/>
      <c r="AL83" s="8" t="n"/>
    </row>
    <row r="84" ht="225" customHeight="1">
      <c r="A84" s="3" t="inlineStr">
        <is>
          <t>A083</t>
        </is>
      </c>
      <c r="B84" s="7" t="inlineStr">
        <is>
          <t>A</t>
        </is>
      </c>
      <c r="C84" s="3" t="n">
        <v>3</v>
      </c>
      <c r="D84" s="3" t="inlineStr">
        <is>
          <t>Install</t>
        </is>
      </c>
      <c r="E84" s="3" t="inlineStr">
        <is>
          <t>INST-AL-Mid-Large-Clust-Medium</t>
        </is>
      </c>
      <c r="F84" s="3" t="inlineStr">
        <is>
          <t>Install large modules, clustered, mid-shelf (30-60 m), Alabama (west of the Perdido River), medium budget ($1-5 M)</t>
        </is>
      </c>
      <c r="G84" s="3" t="inlineStr">
        <is>
          <t>Alabama (west of the Perdido River)</t>
        </is>
      </c>
      <c r="H84" s="3" t="inlineStr">
        <is>
          <t>Mid-shelf (30-60 m)</t>
        </is>
      </c>
      <c r="I84" s="3" t="inlineStr">
        <is>
          <t>Large module ($12,000; 20 m2; 6 m tall)</t>
        </is>
      </c>
      <c r="J84" s="3" t="inlineStr">
        <is>
          <t>Clustered (favour cells next to existing modules)</t>
        </is>
      </c>
      <c r="K84" s="3" t="inlineStr">
        <is>
          <t>Medium: $1-5 M</t>
        </is>
      </c>
      <c r="L84" s="3" t="n"/>
      <c r="M84" s="3" t="n"/>
      <c r="N84" s="3" t="n"/>
      <c r="O84" s="3" t="n"/>
      <c r="P84" s="3" t="n"/>
      <c r="Q84" s="3" t="n"/>
      <c r="R84" s="3" t="inlineStr">
        <is>
          <t>Strategy &gt; Strategy: Install new structures
Installation &gt; Maximum budget per scenario (USD): 5,000,000
Installation &gt; Minimum budget per scenario (USD): 1,000,000
Installation &gt; How budgets are drawn: Uniform
Installation &gt; East lon: -87.51
Installation &gt; Min depth (m): 30
Installation &gt; Max depth (m): 60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1,083</t>
        </is>
      </c>
      <c r="S84" s="3" t="inlineStr">
        <is>
          <t>A083_INST-AL-Mid-Large-Clust-Medium.json</t>
        </is>
      </c>
      <c r="T84" s="3" t="n">
        <v>100</v>
      </c>
      <c r="U84" s="3" t="n">
        <v>1083</v>
      </c>
      <c r="V84" s="3" t="n">
        <v>247</v>
      </c>
      <c r="W84" s="3" t="n"/>
      <c r="X84" s="3">
        <f>ROUND((T84+1)*'Read me'!$C$14/60,1)</f>
        <v/>
      </c>
      <c r="Y84" s="8" t="n"/>
      <c r="Z84" s="8" t="inlineStr">
        <is>
          <t>Not started</t>
        </is>
      </c>
      <c r="AA84" s="8" t="n"/>
      <c r="AB84" s="8" t="n"/>
      <c r="AC84" s="8" t="n"/>
      <c r="AD84" s="8" t="n"/>
      <c r="AE84" s="8" t="n"/>
      <c r="AF84" s="8" t="n"/>
      <c r="AG84" s="8" t="n"/>
      <c r="AH84" s="8" t="n"/>
      <c r="AI84" s="8" t="n"/>
      <c r="AJ84" s="8">
        <f>IF(OR(AH84="",'Submission &amp; QC'!$C$18=""),"",IF(AND(ABS(AH84-'Submission &amp; QC'!$C$18)&lt;=0.0005*ABS('Submission &amp; QC'!$C$18),ABS(AI84-'Submission &amp; QC'!$C$19)&lt;=0.0005*ABS('Submission &amp; QC'!$C$19)),"Pass","Fail"))</f>
        <v/>
      </c>
      <c r="AK84" s="8" t="n"/>
      <c r="AL84" s="8" t="n"/>
    </row>
    <row r="85" ht="225" customHeight="1">
      <c r="A85" s="3" t="inlineStr">
        <is>
          <t>A084</t>
        </is>
      </c>
      <c r="B85" s="7" t="inlineStr">
        <is>
          <t>A</t>
        </is>
      </c>
      <c r="C85" s="3" t="n">
        <v>3</v>
      </c>
      <c r="D85" s="3" t="inlineStr">
        <is>
          <t>Install</t>
        </is>
      </c>
      <c r="E85" s="3" t="inlineStr">
        <is>
          <t>INST-AL-Mid-Large-Clust-Large</t>
        </is>
      </c>
      <c r="F85" s="3" t="inlineStr">
        <is>
          <t>Install large modules, clustered, mid-shelf (30-60 m), Alabama (west of the Perdido River), large budget ($5-15 M)</t>
        </is>
      </c>
      <c r="G85" s="3" t="inlineStr">
        <is>
          <t>Alabama (west of the Perdido River)</t>
        </is>
      </c>
      <c r="H85" s="3" t="inlineStr">
        <is>
          <t>Mid-shelf (30-60 m)</t>
        </is>
      </c>
      <c r="I85" s="3" t="inlineStr">
        <is>
          <t>Large module ($12,000; 20 m2; 6 m tall)</t>
        </is>
      </c>
      <c r="J85" s="3" t="inlineStr">
        <is>
          <t>Clustered (favour cells next to existing modules)</t>
        </is>
      </c>
      <c r="K85" s="3" t="inlineStr">
        <is>
          <t>Large: $5-15 M</t>
        </is>
      </c>
      <c r="L85" s="3" t="n"/>
      <c r="M85" s="3" t="n"/>
      <c r="N85" s="3" t="n"/>
      <c r="O85" s="3" t="n"/>
      <c r="P85" s="3" t="n"/>
      <c r="Q85" s="3" t="n"/>
      <c r="R85"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30
Installation &gt; Max depth (m): 60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1,084</t>
        </is>
      </c>
      <c r="S85" s="3" t="inlineStr">
        <is>
          <t>A084_INST-AL-Mid-Large-Clust-Large.json</t>
        </is>
      </c>
      <c r="T85" s="3" t="n">
        <v>100</v>
      </c>
      <c r="U85" s="3" t="n">
        <v>1084</v>
      </c>
      <c r="V85" s="3" t="n">
        <v>247</v>
      </c>
      <c r="W85" s="3" t="n"/>
      <c r="X85" s="3">
        <f>ROUND((T85+1)*'Read me'!$C$14/60,1)</f>
        <v/>
      </c>
      <c r="Y85" s="8" t="n"/>
      <c r="Z85" s="8" t="inlineStr">
        <is>
          <t>Not started</t>
        </is>
      </c>
      <c r="AA85" s="8" t="n"/>
      <c r="AB85" s="8" t="n"/>
      <c r="AC85" s="8" t="n"/>
      <c r="AD85" s="8" t="n"/>
      <c r="AE85" s="8" t="n"/>
      <c r="AF85" s="8" t="n"/>
      <c r="AG85" s="8" t="n"/>
      <c r="AH85" s="8" t="n"/>
      <c r="AI85" s="8" t="n"/>
      <c r="AJ85" s="8">
        <f>IF(OR(AH85="",'Submission &amp; QC'!$C$18=""),"",IF(AND(ABS(AH85-'Submission &amp; QC'!$C$18)&lt;=0.0005*ABS('Submission &amp; QC'!$C$18),ABS(AI85-'Submission &amp; QC'!$C$19)&lt;=0.0005*ABS('Submission &amp; QC'!$C$19)),"Pass","Fail"))</f>
        <v/>
      </c>
      <c r="AK85" s="8" t="n"/>
      <c r="AL85" s="8" t="n"/>
    </row>
    <row r="86" ht="165" customHeight="1">
      <c r="A86" s="3" t="inlineStr">
        <is>
          <t>A085</t>
        </is>
      </c>
      <c r="B86" s="7" t="inlineStr">
        <is>
          <t>A</t>
        </is>
      </c>
      <c r="C86" s="3" t="n">
        <v>2</v>
      </c>
      <c r="D86" s="3" t="inlineStr">
        <is>
          <t>Install</t>
        </is>
      </c>
      <c r="E86" s="3" t="inlineStr">
        <is>
          <t>INST-AL-Deep-Std-Disp-Small</t>
        </is>
      </c>
      <c r="F86" s="3" t="inlineStr">
        <is>
          <t>Install standard prefab modules, dispersed, deep (60-100 m), Alabama (west of the Perdido River), small budget ($0.1-1 M)</t>
        </is>
      </c>
      <c r="G86" s="3" t="inlineStr">
        <is>
          <t>Alabama (west of the Perdido River)</t>
        </is>
      </c>
      <c r="H86" s="3" t="inlineStr">
        <is>
          <t>Deep (60-100 m)</t>
        </is>
      </c>
      <c r="I86" s="3" t="inlineStr">
        <is>
          <t>Standard prefab module ($2,500; 6 m2; 3 m tall)</t>
        </is>
      </c>
      <c r="J86" s="3" t="inlineStr">
        <is>
          <t>Dispersed (no connectivity preference)</t>
        </is>
      </c>
      <c r="K86" s="3" t="inlineStr">
        <is>
          <t>Small: $0.1-1 M</t>
        </is>
      </c>
      <c r="L86" s="3" t="n"/>
      <c r="M86" s="3" t="n"/>
      <c r="N86" s="3" t="n"/>
      <c r="O86" s="3" t="n"/>
      <c r="P86" s="3" t="n"/>
      <c r="Q86" s="3" t="n"/>
      <c r="R86" s="3" t="inlineStr">
        <is>
          <t>Strategy &gt; Strategy: Install new structures
Installation &gt; Maximum budget per scenario (USD): 1,000,000
Installation &gt; Minimum budget per scenario (USD): 100,000
Installation &gt; How budgets are drawn: Uniform
Installation &gt; East lon: -87.51
Installation &gt; Min depth (m): 60
Installation &gt; Max depth (m): 100
Installation &gt; Favour cells next to existing modules: unticked
Live solver / Search &gt; Number of scenarios to run: 100
Search &gt; Search algorithm: Random search
Search &gt; Random seed: 1,085</t>
        </is>
      </c>
      <c r="S86" s="3" t="inlineStr">
        <is>
          <t>A085_INST-AL-Deep-Std-Disp-Small.json</t>
        </is>
      </c>
      <c r="T86" s="3" t="n">
        <v>100</v>
      </c>
      <c r="U86" s="3" t="n">
        <v>1085</v>
      </c>
      <c r="V86" s="3" t="n">
        <v>57</v>
      </c>
      <c r="W86" s="3" t="n"/>
      <c r="X86" s="3">
        <f>ROUND((T86+1)*'Read me'!$C$14/60,1)</f>
        <v/>
      </c>
      <c r="Y86" s="8" t="n"/>
      <c r="Z86" s="8" t="inlineStr">
        <is>
          <t>Not started</t>
        </is>
      </c>
      <c r="AA86" s="8" t="n"/>
      <c r="AB86" s="8" t="n"/>
      <c r="AC86" s="8" t="n"/>
      <c r="AD86" s="8" t="n"/>
      <c r="AE86" s="8" t="n"/>
      <c r="AF86" s="8" t="n"/>
      <c r="AG86" s="8" t="n"/>
      <c r="AH86" s="8" t="n"/>
      <c r="AI86" s="8" t="n"/>
      <c r="AJ86" s="8">
        <f>IF(OR(AH86="",'Submission &amp; QC'!$C$18=""),"",IF(AND(ABS(AH86-'Submission &amp; QC'!$C$18)&lt;=0.0005*ABS('Submission &amp; QC'!$C$18),ABS(AI86-'Submission &amp; QC'!$C$19)&lt;=0.0005*ABS('Submission &amp; QC'!$C$19)),"Pass","Fail"))</f>
        <v/>
      </c>
      <c r="AK86" s="8" t="n"/>
      <c r="AL86" s="8" t="n"/>
    </row>
    <row r="87" ht="165" customHeight="1">
      <c r="A87" s="3" t="inlineStr">
        <is>
          <t>A086</t>
        </is>
      </c>
      <c r="B87" s="7" t="inlineStr">
        <is>
          <t>A</t>
        </is>
      </c>
      <c r="C87" s="3" t="n">
        <v>2</v>
      </c>
      <c r="D87" s="3" t="inlineStr">
        <is>
          <t>Install</t>
        </is>
      </c>
      <c r="E87" s="3" t="inlineStr">
        <is>
          <t>INST-AL-Deep-Std-Disp-Medium</t>
        </is>
      </c>
      <c r="F87" s="3" t="inlineStr">
        <is>
          <t>Install standard prefab modules, dispersed, deep (60-100 m), Alabama (west of the Perdido River), medium budget ($1-5 M)</t>
        </is>
      </c>
      <c r="G87" s="3" t="inlineStr">
        <is>
          <t>Alabama (west of the Perdido River)</t>
        </is>
      </c>
      <c r="H87" s="3" t="inlineStr">
        <is>
          <t>Deep (60-100 m)</t>
        </is>
      </c>
      <c r="I87" s="3" t="inlineStr">
        <is>
          <t>Standard prefab module ($2,500; 6 m2; 3 m tall)</t>
        </is>
      </c>
      <c r="J87" s="3" t="inlineStr">
        <is>
          <t>Dispersed (no connectivity preference)</t>
        </is>
      </c>
      <c r="K87" s="3" t="inlineStr">
        <is>
          <t>Medium: $1-5 M</t>
        </is>
      </c>
      <c r="L87" s="3" t="n"/>
      <c r="M87" s="3" t="n"/>
      <c r="N87" s="3" t="n"/>
      <c r="O87" s="3" t="n"/>
      <c r="P87" s="3" t="n"/>
      <c r="Q87" s="3" t="n"/>
      <c r="R87" s="3" t="inlineStr">
        <is>
          <t>Strategy &gt; Strategy: Install new structures
Installation &gt; Maximum budget per scenario (USD): 5,000,000
Installation &gt; Minimum budget per scenario (USD): 1,000,000
Installation &gt; How budgets are drawn: Uniform
Installation &gt; East lon: -87.51
Installation &gt; Min depth (m): 60
Installation &gt; Max depth (m): 100
Installation &gt; Favour cells next to existing modules: unticked
Live solver / Search &gt; Number of scenarios to run: 100
Search &gt; Search algorithm: Random search
Search &gt; Random seed: 1,086</t>
        </is>
      </c>
      <c r="S87" s="3" t="inlineStr">
        <is>
          <t>A086_INST-AL-Deep-Std-Disp-Medium.json</t>
        </is>
      </c>
      <c r="T87" s="3" t="n">
        <v>100</v>
      </c>
      <c r="U87" s="3" t="n">
        <v>1086</v>
      </c>
      <c r="V87" s="3" t="n">
        <v>57</v>
      </c>
      <c r="W87" s="3" t="n"/>
      <c r="X87" s="3">
        <f>ROUND((T87+1)*'Read me'!$C$14/60,1)</f>
        <v/>
      </c>
      <c r="Y87" s="8" t="n"/>
      <c r="Z87" s="8" t="inlineStr">
        <is>
          <t>Not started</t>
        </is>
      </c>
      <c r="AA87" s="8" t="n"/>
      <c r="AB87" s="8" t="n"/>
      <c r="AC87" s="8" t="n"/>
      <c r="AD87" s="8" t="n"/>
      <c r="AE87" s="8" t="n"/>
      <c r="AF87" s="8" t="n"/>
      <c r="AG87" s="8" t="n"/>
      <c r="AH87" s="8" t="n"/>
      <c r="AI87" s="8" t="n"/>
      <c r="AJ87" s="8">
        <f>IF(OR(AH87="",'Submission &amp; QC'!$C$18=""),"",IF(AND(ABS(AH87-'Submission &amp; QC'!$C$18)&lt;=0.0005*ABS('Submission &amp; QC'!$C$18),ABS(AI87-'Submission &amp; QC'!$C$19)&lt;=0.0005*ABS('Submission &amp; QC'!$C$19)),"Pass","Fail"))</f>
        <v/>
      </c>
      <c r="AK87" s="8" t="n"/>
      <c r="AL87" s="8" t="n"/>
    </row>
    <row r="88" ht="165" customHeight="1">
      <c r="A88" s="3" t="inlineStr">
        <is>
          <t>A087</t>
        </is>
      </c>
      <c r="B88" s="7" t="inlineStr">
        <is>
          <t>A</t>
        </is>
      </c>
      <c r="C88" s="3" t="n">
        <v>2</v>
      </c>
      <c r="D88" s="3" t="inlineStr">
        <is>
          <t>Install</t>
        </is>
      </c>
      <c r="E88" s="3" t="inlineStr">
        <is>
          <t>INST-AL-Deep-Std-Disp-Large</t>
        </is>
      </c>
      <c r="F88" s="3" t="inlineStr">
        <is>
          <t>Install standard prefab modules, dispersed, deep (60-100 m), Alabama (west of the Perdido River), large budget ($5-15 M)</t>
        </is>
      </c>
      <c r="G88" s="3" t="inlineStr">
        <is>
          <t>Alabama (west of the Perdido River)</t>
        </is>
      </c>
      <c r="H88" s="3" t="inlineStr">
        <is>
          <t>Deep (60-100 m)</t>
        </is>
      </c>
      <c r="I88" s="3" t="inlineStr">
        <is>
          <t>Standard prefab module ($2,500; 6 m2; 3 m tall)</t>
        </is>
      </c>
      <c r="J88" s="3" t="inlineStr">
        <is>
          <t>Dispersed (no connectivity preference)</t>
        </is>
      </c>
      <c r="K88" s="3" t="inlineStr">
        <is>
          <t>Large: $5-15 M</t>
        </is>
      </c>
      <c r="L88" s="3" t="n"/>
      <c r="M88" s="3" t="n"/>
      <c r="N88" s="3" t="n"/>
      <c r="O88" s="3" t="n"/>
      <c r="P88" s="3" t="n"/>
      <c r="Q88" s="3" t="n"/>
      <c r="R88"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60
Installation &gt; Max depth (m): 100
Installation &gt; Favour cells next to existing modules: unticked
Live solver / Search &gt; Number of scenarios to run: 100
Search &gt; Search algorithm: Random search
Search &gt; Random seed: 1,087</t>
        </is>
      </c>
      <c r="S88" s="3" t="inlineStr">
        <is>
          <t>A087_INST-AL-Deep-Std-Disp-Large.json</t>
        </is>
      </c>
      <c r="T88" s="3" t="n">
        <v>100</v>
      </c>
      <c r="U88" s="3" t="n">
        <v>1087</v>
      </c>
      <c r="V88" s="3" t="n">
        <v>57</v>
      </c>
      <c r="W88" s="3" t="n"/>
      <c r="X88" s="3">
        <f>ROUND((T88+1)*'Read me'!$C$14/60,1)</f>
        <v/>
      </c>
      <c r="Y88" s="8" t="n"/>
      <c r="Z88" s="8" t="inlineStr">
        <is>
          <t>Not started</t>
        </is>
      </c>
      <c r="AA88" s="8" t="n"/>
      <c r="AB88" s="8" t="n"/>
      <c r="AC88" s="8" t="n"/>
      <c r="AD88" s="8" t="n"/>
      <c r="AE88" s="8" t="n"/>
      <c r="AF88" s="8" t="n"/>
      <c r="AG88" s="8" t="n"/>
      <c r="AH88" s="8" t="n"/>
      <c r="AI88" s="8" t="n"/>
      <c r="AJ88" s="8">
        <f>IF(OR(AH88="",'Submission &amp; QC'!$C$18=""),"",IF(AND(ABS(AH88-'Submission &amp; QC'!$C$18)&lt;=0.0005*ABS('Submission &amp; QC'!$C$18),ABS(AI88-'Submission &amp; QC'!$C$19)&lt;=0.0005*ABS('Submission &amp; QC'!$C$19)),"Pass","Fail"))</f>
        <v/>
      </c>
      <c r="AK88" s="8" t="n"/>
      <c r="AL88" s="8" t="n"/>
    </row>
    <row r="89" ht="180" customHeight="1">
      <c r="A89" s="3" t="inlineStr">
        <is>
          <t>A088</t>
        </is>
      </c>
      <c r="B89" s="7" t="inlineStr">
        <is>
          <t>A</t>
        </is>
      </c>
      <c r="C89" s="3" t="n">
        <v>2</v>
      </c>
      <c r="D89" s="3" t="inlineStr">
        <is>
          <t>Install</t>
        </is>
      </c>
      <c r="E89" s="3" t="inlineStr">
        <is>
          <t>INST-AL-Deep-Std-Clust-Small</t>
        </is>
      </c>
      <c r="F89" s="3" t="inlineStr">
        <is>
          <t>Install standard prefab modules, clustered, deep (60-100 m), Alabama (west of the Perdido River), small budget ($0.1-1 M)</t>
        </is>
      </c>
      <c r="G89" s="3" t="inlineStr">
        <is>
          <t>Alabama (west of the Perdido River)</t>
        </is>
      </c>
      <c r="H89" s="3" t="inlineStr">
        <is>
          <t>Deep (60-100 m)</t>
        </is>
      </c>
      <c r="I89" s="3" t="inlineStr">
        <is>
          <t>Standard prefab module ($2,500; 6 m2; 3 m tall)</t>
        </is>
      </c>
      <c r="J89" s="3" t="inlineStr">
        <is>
          <t>Clustered (favour cells next to existing modules)</t>
        </is>
      </c>
      <c r="K89" s="3" t="inlineStr">
        <is>
          <t>Small: $0.1-1 M</t>
        </is>
      </c>
      <c r="L89" s="3" t="n"/>
      <c r="M89" s="3" t="n"/>
      <c r="N89" s="3" t="n"/>
      <c r="O89" s="3" t="n"/>
      <c r="P89" s="3" t="n"/>
      <c r="Q89" s="3" t="n"/>
      <c r="R89" s="3" t="inlineStr">
        <is>
          <t>Strategy &gt; Strategy: Install new structures
Installation &gt; Maximum budget per scenario (USD): 1,000,000
Installation &gt; Minimum budget per scenario (USD): 100,000
Installation &gt; How budgets are drawn: Uniform
Installation &gt; East lon: -87.51
Installation &gt; Min depth (m): 60
Installation &gt; Max depth (m): 100
Installation &gt; Favour cells next to existing modules: ticked
Installation &gt; Connectivity bonus: 10
Live solver / Search &gt; Number of scenarios to run: 100
Search &gt; Search algorithm: Random search
Search &gt; Random seed: 1,088</t>
        </is>
      </c>
      <c r="S89" s="3" t="inlineStr">
        <is>
          <t>A088_INST-AL-Deep-Std-Clust-Small.json</t>
        </is>
      </c>
      <c r="T89" s="3" t="n">
        <v>100</v>
      </c>
      <c r="U89" s="3" t="n">
        <v>1088</v>
      </c>
      <c r="V89" s="3" t="n">
        <v>57</v>
      </c>
      <c r="W89" s="3" t="n"/>
      <c r="X89" s="3">
        <f>ROUND((T89+1)*'Read me'!$C$14/60,1)</f>
        <v/>
      </c>
      <c r="Y89" s="8" t="n"/>
      <c r="Z89" s="8" t="inlineStr">
        <is>
          <t>Not started</t>
        </is>
      </c>
      <c r="AA89" s="8" t="n"/>
      <c r="AB89" s="8" t="n"/>
      <c r="AC89" s="8" t="n"/>
      <c r="AD89" s="8" t="n"/>
      <c r="AE89" s="8" t="n"/>
      <c r="AF89" s="8" t="n"/>
      <c r="AG89" s="8" t="n"/>
      <c r="AH89" s="8" t="n"/>
      <c r="AI89" s="8" t="n"/>
      <c r="AJ89" s="8">
        <f>IF(OR(AH89="",'Submission &amp; QC'!$C$18=""),"",IF(AND(ABS(AH89-'Submission &amp; QC'!$C$18)&lt;=0.0005*ABS('Submission &amp; QC'!$C$18),ABS(AI89-'Submission &amp; QC'!$C$19)&lt;=0.0005*ABS('Submission &amp; QC'!$C$19)),"Pass","Fail"))</f>
        <v/>
      </c>
      <c r="AK89" s="8" t="n"/>
      <c r="AL89" s="8" t="n"/>
    </row>
    <row r="90" ht="180" customHeight="1">
      <c r="A90" s="3" t="inlineStr">
        <is>
          <t>A089</t>
        </is>
      </c>
      <c r="B90" s="7" t="inlineStr">
        <is>
          <t>A</t>
        </is>
      </c>
      <c r="C90" s="3" t="n">
        <v>2</v>
      </c>
      <c r="D90" s="3" t="inlineStr">
        <is>
          <t>Install</t>
        </is>
      </c>
      <c r="E90" s="3" t="inlineStr">
        <is>
          <t>INST-AL-Deep-Std-Clust-Medium</t>
        </is>
      </c>
      <c r="F90" s="3" t="inlineStr">
        <is>
          <t>Install standard prefab modules, clustered, deep (60-100 m), Alabama (west of the Perdido River), medium budget ($1-5 M)</t>
        </is>
      </c>
      <c r="G90" s="3" t="inlineStr">
        <is>
          <t>Alabama (west of the Perdido River)</t>
        </is>
      </c>
      <c r="H90" s="3" t="inlineStr">
        <is>
          <t>Deep (60-100 m)</t>
        </is>
      </c>
      <c r="I90" s="3" t="inlineStr">
        <is>
          <t>Standard prefab module ($2,500; 6 m2; 3 m tall)</t>
        </is>
      </c>
      <c r="J90" s="3" t="inlineStr">
        <is>
          <t>Clustered (favour cells next to existing modules)</t>
        </is>
      </c>
      <c r="K90" s="3" t="inlineStr">
        <is>
          <t>Medium: $1-5 M</t>
        </is>
      </c>
      <c r="L90" s="3" t="n"/>
      <c r="M90" s="3" t="n"/>
      <c r="N90" s="3" t="n"/>
      <c r="O90" s="3" t="n"/>
      <c r="P90" s="3" t="n"/>
      <c r="Q90" s="3" t="n"/>
      <c r="R90" s="3" t="inlineStr">
        <is>
          <t>Strategy &gt; Strategy: Install new structures
Installation &gt; Maximum budget per scenario (USD): 5,000,000
Installation &gt; Minimum budget per scenario (USD): 1,000,000
Installation &gt; How budgets are drawn: Uniform
Installation &gt; East lon: -87.51
Installation &gt; Min depth (m): 60
Installation &gt; Max depth (m): 100
Installation &gt; Favour cells next to existing modules: ticked
Installation &gt; Connectivity bonus: 10
Live solver / Search &gt; Number of scenarios to run: 100
Search &gt; Search algorithm: Random search
Search &gt; Random seed: 1,089</t>
        </is>
      </c>
      <c r="S90" s="3" t="inlineStr">
        <is>
          <t>A089_INST-AL-Deep-Std-Clust-Medium.json</t>
        </is>
      </c>
      <c r="T90" s="3" t="n">
        <v>100</v>
      </c>
      <c r="U90" s="3" t="n">
        <v>1089</v>
      </c>
      <c r="V90" s="3" t="n">
        <v>57</v>
      </c>
      <c r="W90" s="3" t="n"/>
      <c r="X90" s="3">
        <f>ROUND((T90+1)*'Read me'!$C$14/60,1)</f>
        <v/>
      </c>
      <c r="Y90" s="8" t="n"/>
      <c r="Z90" s="8" t="inlineStr">
        <is>
          <t>Not started</t>
        </is>
      </c>
      <c r="AA90" s="8" t="n"/>
      <c r="AB90" s="8" t="n"/>
      <c r="AC90" s="8" t="n"/>
      <c r="AD90" s="8" t="n"/>
      <c r="AE90" s="8" t="n"/>
      <c r="AF90" s="8" t="n"/>
      <c r="AG90" s="8" t="n"/>
      <c r="AH90" s="8" t="n"/>
      <c r="AI90" s="8" t="n"/>
      <c r="AJ90" s="8">
        <f>IF(OR(AH90="",'Submission &amp; QC'!$C$18=""),"",IF(AND(ABS(AH90-'Submission &amp; QC'!$C$18)&lt;=0.0005*ABS('Submission &amp; QC'!$C$18),ABS(AI90-'Submission &amp; QC'!$C$19)&lt;=0.0005*ABS('Submission &amp; QC'!$C$19)),"Pass","Fail"))</f>
        <v/>
      </c>
      <c r="AK90" s="8" t="n"/>
      <c r="AL90" s="8" t="n"/>
    </row>
    <row r="91" ht="180" customHeight="1">
      <c r="A91" s="3" t="inlineStr">
        <is>
          <t>A090</t>
        </is>
      </c>
      <c r="B91" s="7" t="inlineStr">
        <is>
          <t>A</t>
        </is>
      </c>
      <c r="C91" s="3" t="n">
        <v>2</v>
      </c>
      <c r="D91" s="3" t="inlineStr">
        <is>
          <t>Install</t>
        </is>
      </c>
      <c r="E91" s="3" t="inlineStr">
        <is>
          <t>INST-AL-Deep-Std-Clust-Large</t>
        </is>
      </c>
      <c r="F91" s="3" t="inlineStr">
        <is>
          <t>Install standard prefab modules, clustered, deep (60-100 m), Alabama (west of the Perdido River), large budget ($5-15 M)</t>
        </is>
      </c>
      <c r="G91" s="3" t="inlineStr">
        <is>
          <t>Alabama (west of the Perdido River)</t>
        </is>
      </c>
      <c r="H91" s="3" t="inlineStr">
        <is>
          <t>Deep (60-100 m)</t>
        </is>
      </c>
      <c r="I91" s="3" t="inlineStr">
        <is>
          <t>Standard prefab module ($2,500; 6 m2; 3 m tall)</t>
        </is>
      </c>
      <c r="J91" s="3" t="inlineStr">
        <is>
          <t>Clustered (favour cells next to existing modules)</t>
        </is>
      </c>
      <c r="K91" s="3" t="inlineStr">
        <is>
          <t>Large: $5-15 M</t>
        </is>
      </c>
      <c r="L91" s="3" t="n"/>
      <c r="M91" s="3" t="n"/>
      <c r="N91" s="3" t="n"/>
      <c r="O91" s="3" t="n"/>
      <c r="P91" s="3" t="n"/>
      <c r="Q91" s="3" t="n"/>
      <c r="R91"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60
Installation &gt; Max depth (m): 100
Installation &gt; Favour cells next to existing modules: ticked
Installation &gt; Connectivity bonus: 10
Live solver / Search &gt; Number of scenarios to run: 100
Search &gt; Search algorithm: Random search
Search &gt; Random seed: 1,090</t>
        </is>
      </c>
      <c r="S91" s="3" t="inlineStr">
        <is>
          <t>A090_INST-AL-Deep-Std-Clust-Large.json</t>
        </is>
      </c>
      <c r="T91" s="3" t="n">
        <v>100</v>
      </c>
      <c r="U91" s="3" t="n">
        <v>1090</v>
      </c>
      <c r="V91" s="3" t="n">
        <v>57</v>
      </c>
      <c r="W91" s="3" t="n"/>
      <c r="X91" s="3">
        <f>ROUND((T91+1)*'Read me'!$C$14/60,1)</f>
        <v/>
      </c>
      <c r="Y91" s="8" t="n"/>
      <c r="Z91" s="8" t="inlineStr">
        <is>
          <t>Not started</t>
        </is>
      </c>
      <c r="AA91" s="8" t="n"/>
      <c r="AB91" s="8" t="n"/>
      <c r="AC91" s="8" t="n"/>
      <c r="AD91" s="8" t="n"/>
      <c r="AE91" s="8" t="n"/>
      <c r="AF91" s="8" t="n"/>
      <c r="AG91" s="8" t="n"/>
      <c r="AH91" s="8" t="n"/>
      <c r="AI91" s="8" t="n"/>
      <c r="AJ91" s="8">
        <f>IF(OR(AH91="",'Submission &amp; QC'!$C$18=""),"",IF(AND(ABS(AH91-'Submission &amp; QC'!$C$18)&lt;=0.0005*ABS('Submission &amp; QC'!$C$18),ABS(AI91-'Submission &amp; QC'!$C$19)&lt;=0.0005*ABS('Submission &amp; QC'!$C$19)),"Pass","Fail"))</f>
        <v/>
      </c>
      <c r="AK91" s="8" t="n"/>
      <c r="AL91" s="8" t="n"/>
    </row>
    <row r="92" ht="210" customHeight="1">
      <c r="A92" s="3" t="inlineStr">
        <is>
          <t>A091</t>
        </is>
      </c>
      <c r="B92" s="7" t="inlineStr">
        <is>
          <t>A</t>
        </is>
      </c>
      <c r="C92" s="3" t="n">
        <v>3</v>
      </c>
      <c r="D92" s="3" t="inlineStr">
        <is>
          <t>Install</t>
        </is>
      </c>
      <c r="E92" s="3" t="inlineStr">
        <is>
          <t>INST-AL-Deep-Large-Disp-Small</t>
        </is>
      </c>
      <c r="F92" s="3" t="inlineStr">
        <is>
          <t>Install large modules, dispersed, deep (60-100 m), Alabama (west of the Perdido River), small budget ($0.1-1 M)</t>
        </is>
      </c>
      <c r="G92" s="3" t="inlineStr">
        <is>
          <t>Alabama (west of the Perdido River)</t>
        </is>
      </c>
      <c r="H92" s="3" t="inlineStr">
        <is>
          <t>Deep (60-100 m)</t>
        </is>
      </c>
      <c r="I92" s="3" t="inlineStr">
        <is>
          <t>Large module ($12,000; 20 m2; 6 m tall)</t>
        </is>
      </c>
      <c r="J92" s="3" t="inlineStr">
        <is>
          <t>Dispersed (no connectivity preference)</t>
        </is>
      </c>
      <c r="K92" s="3" t="inlineStr">
        <is>
          <t>Small: $0.1-1 M</t>
        </is>
      </c>
      <c r="L92" s="3" t="n"/>
      <c r="M92" s="3" t="n"/>
      <c r="N92" s="3" t="n"/>
      <c r="O92" s="3" t="n"/>
      <c r="P92" s="3" t="n"/>
      <c r="Q92" s="3" t="n"/>
      <c r="R92" s="3" t="inlineStr">
        <is>
          <t>Strategy &gt; Strategy: Install new structures
Installation &gt; Maximum budget per scenario (USD): 1,000,000
Installation &gt; Minimum budget per scenario (USD): 100,000
Installation &gt; How budgets are drawn: Uniform
Installation &gt; East lon: -87.51
Installation &gt; Min depth (m): 60
Installation &gt; Max depth (m): 100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1,091</t>
        </is>
      </c>
      <c r="S92" s="3" t="inlineStr">
        <is>
          <t>A091_INST-AL-Deep-Large-Disp-Small.json</t>
        </is>
      </c>
      <c r="T92" s="3" t="n">
        <v>100</v>
      </c>
      <c r="U92" s="3" t="n">
        <v>1091</v>
      </c>
      <c r="V92" s="3" t="n">
        <v>57</v>
      </c>
      <c r="W92" s="3" t="n"/>
      <c r="X92" s="3">
        <f>ROUND((T92+1)*'Read me'!$C$14/60,1)</f>
        <v/>
      </c>
      <c r="Y92" s="8" t="n"/>
      <c r="Z92" s="8" t="inlineStr">
        <is>
          <t>Not started</t>
        </is>
      </c>
      <c r="AA92" s="8" t="n"/>
      <c r="AB92" s="8" t="n"/>
      <c r="AC92" s="8" t="n"/>
      <c r="AD92" s="8" t="n"/>
      <c r="AE92" s="8" t="n"/>
      <c r="AF92" s="8" t="n"/>
      <c r="AG92" s="8" t="n"/>
      <c r="AH92" s="8" t="n"/>
      <c r="AI92" s="8" t="n"/>
      <c r="AJ92" s="8">
        <f>IF(OR(AH92="",'Submission &amp; QC'!$C$18=""),"",IF(AND(ABS(AH92-'Submission &amp; QC'!$C$18)&lt;=0.0005*ABS('Submission &amp; QC'!$C$18),ABS(AI92-'Submission &amp; QC'!$C$19)&lt;=0.0005*ABS('Submission &amp; QC'!$C$19)),"Pass","Fail"))</f>
        <v/>
      </c>
      <c r="AK92" s="8" t="n"/>
      <c r="AL92" s="8" t="n"/>
    </row>
    <row r="93" ht="210" customHeight="1">
      <c r="A93" s="3" t="inlineStr">
        <is>
          <t>A092</t>
        </is>
      </c>
      <c r="B93" s="7" t="inlineStr">
        <is>
          <t>A</t>
        </is>
      </c>
      <c r="C93" s="3" t="n">
        <v>3</v>
      </c>
      <c r="D93" s="3" t="inlineStr">
        <is>
          <t>Install</t>
        </is>
      </c>
      <c r="E93" s="3" t="inlineStr">
        <is>
          <t>INST-AL-Deep-Large-Disp-Medium</t>
        </is>
      </c>
      <c r="F93" s="3" t="inlineStr">
        <is>
          <t>Install large modules, dispersed, deep (60-100 m), Alabama (west of the Perdido River), medium budget ($1-5 M)</t>
        </is>
      </c>
      <c r="G93" s="3" t="inlineStr">
        <is>
          <t>Alabama (west of the Perdido River)</t>
        </is>
      </c>
      <c r="H93" s="3" t="inlineStr">
        <is>
          <t>Deep (60-100 m)</t>
        </is>
      </c>
      <c r="I93" s="3" t="inlineStr">
        <is>
          <t>Large module ($12,000; 20 m2; 6 m tall)</t>
        </is>
      </c>
      <c r="J93" s="3" t="inlineStr">
        <is>
          <t>Dispersed (no connectivity preference)</t>
        </is>
      </c>
      <c r="K93" s="3" t="inlineStr">
        <is>
          <t>Medium: $1-5 M</t>
        </is>
      </c>
      <c r="L93" s="3" t="n"/>
      <c r="M93" s="3" t="n"/>
      <c r="N93" s="3" t="n"/>
      <c r="O93" s="3" t="n"/>
      <c r="P93" s="3" t="n"/>
      <c r="Q93" s="3" t="n"/>
      <c r="R93" s="3" t="inlineStr">
        <is>
          <t>Strategy &gt; Strategy: Install new structures
Installation &gt; Maximum budget per scenario (USD): 5,000,000
Installation &gt; Minimum budget per scenario (USD): 1,000,000
Installation &gt; How budgets are drawn: Uniform
Installation &gt; East lon: -87.51
Installation &gt; Min depth (m): 60
Installation &gt; Max depth (m): 100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1,092</t>
        </is>
      </c>
      <c r="S93" s="3" t="inlineStr">
        <is>
          <t>A092_INST-AL-Deep-Large-Disp-Medium.json</t>
        </is>
      </c>
      <c r="T93" s="3" t="n">
        <v>100</v>
      </c>
      <c r="U93" s="3" t="n">
        <v>1092</v>
      </c>
      <c r="V93" s="3" t="n">
        <v>57</v>
      </c>
      <c r="W93" s="3" t="n"/>
      <c r="X93" s="3">
        <f>ROUND((T93+1)*'Read me'!$C$14/60,1)</f>
        <v/>
      </c>
      <c r="Y93" s="8" t="n"/>
      <c r="Z93" s="8" t="inlineStr">
        <is>
          <t>Not started</t>
        </is>
      </c>
      <c r="AA93" s="8" t="n"/>
      <c r="AB93" s="8" t="n"/>
      <c r="AC93" s="8" t="n"/>
      <c r="AD93" s="8" t="n"/>
      <c r="AE93" s="8" t="n"/>
      <c r="AF93" s="8" t="n"/>
      <c r="AG93" s="8" t="n"/>
      <c r="AH93" s="8" t="n"/>
      <c r="AI93" s="8" t="n"/>
      <c r="AJ93" s="8">
        <f>IF(OR(AH93="",'Submission &amp; QC'!$C$18=""),"",IF(AND(ABS(AH93-'Submission &amp; QC'!$C$18)&lt;=0.0005*ABS('Submission &amp; QC'!$C$18),ABS(AI93-'Submission &amp; QC'!$C$19)&lt;=0.0005*ABS('Submission &amp; QC'!$C$19)),"Pass","Fail"))</f>
        <v/>
      </c>
      <c r="AK93" s="8" t="n"/>
      <c r="AL93" s="8" t="n"/>
    </row>
    <row r="94" ht="210" customHeight="1">
      <c r="A94" s="3" t="inlineStr">
        <is>
          <t>A093</t>
        </is>
      </c>
      <c r="B94" s="7" t="inlineStr">
        <is>
          <t>A</t>
        </is>
      </c>
      <c r="C94" s="3" t="n">
        <v>3</v>
      </c>
      <c r="D94" s="3" t="inlineStr">
        <is>
          <t>Install</t>
        </is>
      </c>
      <c r="E94" s="3" t="inlineStr">
        <is>
          <t>INST-AL-Deep-Large-Disp-Large</t>
        </is>
      </c>
      <c r="F94" s="3" t="inlineStr">
        <is>
          <t>Install large modules, dispersed, deep (60-100 m), Alabama (west of the Perdido River), large budget ($5-15 M)</t>
        </is>
      </c>
      <c r="G94" s="3" t="inlineStr">
        <is>
          <t>Alabama (west of the Perdido River)</t>
        </is>
      </c>
      <c r="H94" s="3" t="inlineStr">
        <is>
          <t>Deep (60-100 m)</t>
        </is>
      </c>
      <c r="I94" s="3" t="inlineStr">
        <is>
          <t>Large module ($12,000; 20 m2; 6 m tall)</t>
        </is>
      </c>
      <c r="J94" s="3" t="inlineStr">
        <is>
          <t>Dispersed (no connectivity preference)</t>
        </is>
      </c>
      <c r="K94" s="3" t="inlineStr">
        <is>
          <t>Large: $5-15 M</t>
        </is>
      </c>
      <c r="L94" s="3" t="n"/>
      <c r="M94" s="3" t="n"/>
      <c r="N94" s="3" t="n"/>
      <c r="O94" s="3" t="n"/>
      <c r="P94" s="3" t="n"/>
      <c r="Q94" s="3" t="n"/>
      <c r="R94"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60
Installation &gt; Max depth (m): 100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1,093</t>
        </is>
      </c>
      <c r="S94" s="3" t="inlineStr">
        <is>
          <t>A093_INST-AL-Deep-Large-Disp-Large.json</t>
        </is>
      </c>
      <c r="T94" s="3" t="n">
        <v>100</v>
      </c>
      <c r="U94" s="3" t="n">
        <v>1093</v>
      </c>
      <c r="V94" s="3" t="n">
        <v>57</v>
      </c>
      <c r="W94" s="3" t="n"/>
      <c r="X94" s="3">
        <f>ROUND((T94+1)*'Read me'!$C$14/60,1)</f>
        <v/>
      </c>
      <c r="Y94" s="8" t="n"/>
      <c r="Z94" s="8" t="inlineStr">
        <is>
          <t>Not started</t>
        </is>
      </c>
      <c r="AA94" s="8" t="n"/>
      <c r="AB94" s="8" t="n"/>
      <c r="AC94" s="8" t="n"/>
      <c r="AD94" s="8" t="n"/>
      <c r="AE94" s="8" t="n"/>
      <c r="AF94" s="8" t="n"/>
      <c r="AG94" s="8" t="n"/>
      <c r="AH94" s="8" t="n"/>
      <c r="AI94" s="8" t="n"/>
      <c r="AJ94" s="8">
        <f>IF(OR(AH94="",'Submission &amp; QC'!$C$18=""),"",IF(AND(ABS(AH94-'Submission &amp; QC'!$C$18)&lt;=0.0005*ABS('Submission &amp; QC'!$C$18),ABS(AI94-'Submission &amp; QC'!$C$19)&lt;=0.0005*ABS('Submission &amp; QC'!$C$19)),"Pass","Fail"))</f>
        <v/>
      </c>
      <c r="AK94" s="8" t="n"/>
      <c r="AL94" s="8" t="n"/>
    </row>
    <row r="95" ht="225" customHeight="1">
      <c r="A95" s="3" t="inlineStr">
        <is>
          <t>A094</t>
        </is>
      </c>
      <c r="B95" s="7" t="inlineStr">
        <is>
          <t>A</t>
        </is>
      </c>
      <c r="C95" s="3" t="n">
        <v>3</v>
      </c>
      <c r="D95" s="3" t="inlineStr">
        <is>
          <t>Install</t>
        </is>
      </c>
      <c r="E95" s="3" t="inlineStr">
        <is>
          <t>INST-AL-Deep-Large-Clust-Small</t>
        </is>
      </c>
      <c r="F95" s="3" t="inlineStr">
        <is>
          <t>Install large modules, clustered, deep (60-100 m), Alabama (west of the Perdido River), small budget ($0.1-1 M)</t>
        </is>
      </c>
      <c r="G95" s="3" t="inlineStr">
        <is>
          <t>Alabama (west of the Perdido River)</t>
        </is>
      </c>
      <c r="H95" s="3" t="inlineStr">
        <is>
          <t>Deep (60-100 m)</t>
        </is>
      </c>
      <c r="I95" s="3" t="inlineStr">
        <is>
          <t>Large module ($12,000; 20 m2; 6 m tall)</t>
        </is>
      </c>
      <c r="J95" s="3" t="inlineStr">
        <is>
          <t>Clustered (favour cells next to existing modules)</t>
        </is>
      </c>
      <c r="K95" s="3" t="inlineStr">
        <is>
          <t>Small: $0.1-1 M</t>
        </is>
      </c>
      <c r="L95" s="3" t="n"/>
      <c r="M95" s="3" t="n"/>
      <c r="N95" s="3" t="n"/>
      <c r="O95" s="3" t="n"/>
      <c r="P95" s="3" t="n"/>
      <c r="Q95" s="3" t="n"/>
      <c r="R95" s="3" t="inlineStr">
        <is>
          <t>Strategy &gt; Strategy: Install new structures
Installation &gt; Maximum budget per scenario (USD): 1,000,000
Installation &gt; Minimum budget per scenario (USD): 100,000
Installation &gt; How budgets are drawn: Uniform
Installation &gt; East lon: -87.51
Installation &gt; Min depth (m): 60
Installation &gt; Max depth (m): 100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1,094</t>
        </is>
      </c>
      <c r="S95" s="3" t="inlineStr">
        <is>
          <t>A094_INST-AL-Deep-Large-Clust-Small.json</t>
        </is>
      </c>
      <c r="T95" s="3" t="n">
        <v>100</v>
      </c>
      <c r="U95" s="3" t="n">
        <v>1094</v>
      </c>
      <c r="V95" s="3" t="n">
        <v>57</v>
      </c>
      <c r="W95" s="3" t="n"/>
      <c r="X95" s="3">
        <f>ROUND((T95+1)*'Read me'!$C$14/60,1)</f>
        <v/>
      </c>
      <c r="Y95" s="8" t="n"/>
      <c r="Z95" s="8" t="inlineStr">
        <is>
          <t>Not started</t>
        </is>
      </c>
      <c r="AA95" s="8" t="n"/>
      <c r="AB95" s="8" t="n"/>
      <c r="AC95" s="8" t="n"/>
      <c r="AD95" s="8" t="n"/>
      <c r="AE95" s="8" t="n"/>
      <c r="AF95" s="8" t="n"/>
      <c r="AG95" s="8" t="n"/>
      <c r="AH95" s="8" t="n"/>
      <c r="AI95" s="8" t="n"/>
      <c r="AJ95" s="8">
        <f>IF(OR(AH95="",'Submission &amp; QC'!$C$18=""),"",IF(AND(ABS(AH95-'Submission &amp; QC'!$C$18)&lt;=0.0005*ABS('Submission &amp; QC'!$C$18),ABS(AI95-'Submission &amp; QC'!$C$19)&lt;=0.0005*ABS('Submission &amp; QC'!$C$19)),"Pass","Fail"))</f>
        <v/>
      </c>
      <c r="AK95" s="8" t="n"/>
      <c r="AL95" s="8" t="n"/>
    </row>
    <row r="96" ht="225" customHeight="1">
      <c r="A96" s="3" t="inlineStr">
        <is>
          <t>A095</t>
        </is>
      </c>
      <c r="B96" s="7" t="inlineStr">
        <is>
          <t>A</t>
        </is>
      </c>
      <c r="C96" s="3" t="n">
        <v>3</v>
      </c>
      <c r="D96" s="3" t="inlineStr">
        <is>
          <t>Install</t>
        </is>
      </c>
      <c r="E96" s="3" t="inlineStr">
        <is>
          <t>INST-AL-Deep-Large-Clust-Medium</t>
        </is>
      </c>
      <c r="F96" s="3" t="inlineStr">
        <is>
          <t>Install large modules, clustered, deep (60-100 m), Alabama (west of the Perdido River), medium budget ($1-5 M)</t>
        </is>
      </c>
      <c r="G96" s="3" t="inlineStr">
        <is>
          <t>Alabama (west of the Perdido River)</t>
        </is>
      </c>
      <c r="H96" s="3" t="inlineStr">
        <is>
          <t>Deep (60-100 m)</t>
        </is>
      </c>
      <c r="I96" s="3" t="inlineStr">
        <is>
          <t>Large module ($12,000; 20 m2; 6 m tall)</t>
        </is>
      </c>
      <c r="J96" s="3" t="inlineStr">
        <is>
          <t>Clustered (favour cells next to existing modules)</t>
        </is>
      </c>
      <c r="K96" s="3" t="inlineStr">
        <is>
          <t>Medium: $1-5 M</t>
        </is>
      </c>
      <c r="L96" s="3" t="n"/>
      <c r="M96" s="3" t="n"/>
      <c r="N96" s="3" t="n"/>
      <c r="O96" s="3" t="n"/>
      <c r="P96" s="3" t="n"/>
      <c r="Q96" s="3" t="n"/>
      <c r="R96" s="3" t="inlineStr">
        <is>
          <t>Strategy &gt; Strategy: Install new structures
Installation &gt; Maximum budget per scenario (USD): 5,000,000
Installation &gt; Minimum budget per scenario (USD): 1,000,000
Installation &gt; How budgets are drawn: Uniform
Installation &gt; East lon: -87.51
Installation &gt; Min depth (m): 60
Installation &gt; Max depth (m): 100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1,095</t>
        </is>
      </c>
      <c r="S96" s="3" t="inlineStr">
        <is>
          <t>A095_INST-AL-Deep-Large-Clust-Medium.json</t>
        </is>
      </c>
      <c r="T96" s="3" t="n">
        <v>100</v>
      </c>
      <c r="U96" s="3" t="n">
        <v>1095</v>
      </c>
      <c r="V96" s="3" t="n">
        <v>57</v>
      </c>
      <c r="W96" s="3" t="n"/>
      <c r="X96" s="3">
        <f>ROUND((T96+1)*'Read me'!$C$14/60,1)</f>
        <v/>
      </c>
      <c r="Y96" s="8" t="n"/>
      <c r="Z96" s="8" t="inlineStr">
        <is>
          <t>Not started</t>
        </is>
      </c>
      <c r="AA96" s="8" t="n"/>
      <c r="AB96" s="8" t="n"/>
      <c r="AC96" s="8" t="n"/>
      <c r="AD96" s="8" t="n"/>
      <c r="AE96" s="8" t="n"/>
      <c r="AF96" s="8" t="n"/>
      <c r="AG96" s="8" t="n"/>
      <c r="AH96" s="8" t="n"/>
      <c r="AI96" s="8" t="n"/>
      <c r="AJ96" s="8">
        <f>IF(OR(AH96="",'Submission &amp; QC'!$C$18=""),"",IF(AND(ABS(AH96-'Submission &amp; QC'!$C$18)&lt;=0.0005*ABS('Submission &amp; QC'!$C$18),ABS(AI96-'Submission &amp; QC'!$C$19)&lt;=0.0005*ABS('Submission &amp; QC'!$C$19)),"Pass","Fail"))</f>
        <v/>
      </c>
      <c r="AK96" s="8" t="n"/>
      <c r="AL96" s="8" t="n"/>
    </row>
    <row r="97" ht="225" customHeight="1">
      <c r="A97" s="3" t="inlineStr">
        <is>
          <t>A096</t>
        </is>
      </c>
      <c r="B97" s="7" t="inlineStr">
        <is>
          <t>A</t>
        </is>
      </c>
      <c r="C97" s="3" t="n">
        <v>3</v>
      </c>
      <c r="D97" s="3" t="inlineStr">
        <is>
          <t>Install</t>
        </is>
      </c>
      <c r="E97" s="3" t="inlineStr">
        <is>
          <t>INST-AL-Deep-Large-Clust-Large</t>
        </is>
      </c>
      <c r="F97" s="3" t="inlineStr">
        <is>
          <t>Install large modules, clustered, deep (60-100 m), Alabama (west of the Perdido River), large budget ($5-15 M)</t>
        </is>
      </c>
      <c r="G97" s="3" t="inlineStr">
        <is>
          <t>Alabama (west of the Perdido River)</t>
        </is>
      </c>
      <c r="H97" s="3" t="inlineStr">
        <is>
          <t>Deep (60-100 m)</t>
        </is>
      </c>
      <c r="I97" s="3" t="inlineStr">
        <is>
          <t>Large module ($12,000; 20 m2; 6 m tall)</t>
        </is>
      </c>
      <c r="J97" s="3" t="inlineStr">
        <is>
          <t>Clustered (favour cells next to existing modules)</t>
        </is>
      </c>
      <c r="K97" s="3" t="inlineStr">
        <is>
          <t>Large: $5-15 M</t>
        </is>
      </c>
      <c r="L97" s="3" t="n"/>
      <c r="M97" s="3" t="n"/>
      <c r="N97" s="3" t="n"/>
      <c r="O97" s="3" t="n"/>
      <c r="P97" s="3" t="n"/>
      <c r="Q97" s="3" t="n"/>
      <c r="R97" s="3" t="inlineStr">
        <is>
          <t>Strategy &gt; Strategy: Install new structures
Installation &gt; Maximum budget per scenario (USD): 15,000,000
Installation &gt; Minimum budget per scenario (USD): 5,000,000
Installation &gt; How budgets are drawn: Uniform
Installation &gt; East lon: -87.51
Installation &gt; Min depth (m): 60
Installation &gt; Max depth (m): 100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1,096</t>
        </is>
      </c>
      <c r="S97" s="3" t="inlineStr">
        <is>
          <t>A096_INST-AL-Deep-Large-Clust-Large.json</t>
        </is>
      </c>
      <c r="T97" s="3" t="n">
        <v>100</v>
      </c>
      <c r="U97" s="3" t="n">
        <v>1096</v>
      </c>
      <c r="V97" s="3" t="n">
        <v>57</v>
      </c>
      <c r="W97" s="3" t="n"/>
      <c r="X97" s="3">
        <f>ROUND((T97+1)*'Read me'!$C$14/60,1)</f>
        <v/>
      </c>
      <c r="Y97" s="8" t="n"/>
      <c r="Z97" s="8" t="inlineStr">
        <is>
          <t>Not started</t>
        </is>
      </c>
      <c r="AA97" s="8" t="n"/>
      <c r="AB97" s="8" t="n"/>
      <c r="AC97" s="8" t="n"/>
      <c r="AD97" s="8" t="n"/>
      <c r="AE97" s="8" t="n"/>
      <c r="AF97" s="8" t="n"/>
      <c r="AG97" s="8" t="n"/>
      <c r="AH97" s="8" t="n"/>
      <c r="AI97" s="8" t="n"/>
      <c r="AJ97" s="8">
        <f>IF(OR(AH97="",'Submission &amp; QC'!$C$18=""),"",IF(AND(ABS(AH97-'Submission &amp; QC'!$C$18)&lt;=0.0005*ABS('Submission &amp; QC'!$C$18),ABS(AI97-'Submission &amp; QC'!$C$19)&lt;=0.0005*ABS('Submission &amp; QC'!$C$19)),"Pass","Fail"))</f>
        <v/>
      </c>
      <c r="AK97" s="8" t="n"/>
      <c r="AL97" s="8" t="n"/>
    </row>
    <row r="98" ht="135" customHeight="1">
      <c r="A98" s="3" t="inlineStr">
        <is>
          <t>A097</t>
        </is>
      </c>
      <c r="B98" s="7" t="inlineStr">
        <is>
          <t>A</t>
        </is>
      </c>
      <c r="C98" s="3" t="n">
        <v>2</v>
      </c>
      <c r="D98" s="3" t="inlineStr">
        <is>
          <t>Install</t>
        </is>
      </c>
      <c r="E98" s="3" t="inlineStr">
        <is>
          <t>INST-FL-Any-Std-Disp-Small</t>
        </is>
      </c>
      <c r="F98" s="3" t="inlineStr">
        <is>
          <t>Install standard prefab modules, dispersed, any eligible depth (10-100 m), Florida panhandle (east of the Perdido River), small budget ($0.1-1 M)</t>
        </is>
      </c>
      <c r="G98" s="3" t="inlineStr">
        <is>
          <t>Florida panhandle (east of the Perdido River)</t>
        </is>
      </c>
      <c r="H98" s="3" t="inlineStr">
        <is>
          <t>Any eligible depth (10-100 m)</t>
        </is>
      </c>
      <c r="I98" s="3" t="inlineStr">
        <is>
          <t>Standard prefab module ($2,500; 6 m2; 3 m tall)</t>
        </is>
      </c>
      <c r="J98" s="3" t="inlineStr">
        <is>
          <t>Dispersed (no connectivity preference)</t>
        </is>
      </c>
      <c r="K98" s="3" t="inlineStr">
        <is>
          <t>Small: $0.1-1 M</t>
        </is>
      </c>
      <c r="L98" s="3" t="n"/>
      <c r="M98" s="3" t="n"/>
      <c r="N98" s="3" t="n"/>
      <c r="O98" s="3" t="n"/>
      <c r="P98" s="3" t="n"/>
      <c r="Q98" s="3" t="n"/>
      <c r="R98" s="3" t="inlineStr">
        <is>
          <t>Strategy &gt; Strategy: Install new structures
Installation &gt; Maximum budget per scenario (USD): 1,000,000
Installation &gt; Minimum budget per scenario (USD): 100,000
Installation &gt; How budgets are drawn: Uniform
Installation &gt; West lon: -87.51
Installation &gt; Favour cells next to existing modules: unticked
Live solver / Search &gt; Number of scenarios to run: 100
Search &gt; Search algorithm: Random search
Search &gt; Random seed: 1,097</t>
        </is>
      </c>
      <c r="S98" s="3" t="inlineStr">
        <is>
          <t>A097_INST-FL-Any-Std-Disp-Small.json</t>
        </is>
      </c>
      <c r="T98" s="3" t="n">
        <v>100</v>
      </c>
      <c r="U98" s="3" t="n">
        <v>1097</v>
      </c>
      <c r="V98" s="3" t="n">
        <v>572</v>
      </c>
      <c r="W98" s="3" t="n"/>
      <c r="X98" s="3">
        <f>ROUND((T98+1)*'Read me'!$C$14/60,1)</f>
        <v/>
      </c>
      <c r="Y98" s="8" t="n"/>
      <c r="Z98" s="8" t="inlineStr">
        <is>
          <t>Not started</t>
        </is>
      </c>
      <c r="AA98" s="8" t="n"/>
      <c r="AB98" s="8" t="n"/>
      <c r="AC98" s="8" t="n"/>
      <c r="AD98" s="8" t="n"/>
      <c r="AE98" s="8" t="n"/>
      <c r="AF98" s="8" t="n"/>
      <c r="AG98" s="8" t="n"/>
      <c r="AH98" s="8" t="n"/>
      <c r="AI98" s="8" t="n"/>
      <c r="AJ98" s="8">
        <f>IF(OR(AH98="",'Submission &amp; QC'!$C$18=""),"",IF(AND(ABS(AH98-'Submission &amp; QC'!$C$18)&lt;=0.0005*ABS('Submission &amp; QC'!$C$18),ABS(AI98-'Submission &amp; QC'!$C$19)&lt;=0.0005*ABS('Submission &amp; QC'!$C$19)),"Pass","Fail"))</f>
        <v/>
      </c>
      <c r="AK98" s="8" t="n"/>
      <c r="AL98" s="8" t="n"/>
    </row>
    <row r="99" ht="135" customHeight="1">
      <c r="A99" s="3" t="inlineStr">
        <is>
          <t>A098</t>
        </is>
      </c>
      <c r="B99" s="7" t="inlineStr">
        <is>
          <t>A</t>
        </is>
      </c>
      <c r="C99" s="3" t="n">
        <v>2</v>
      </c>
      <c r="D99" s="3" t="inlineStr">
        <is>
          <t>Install</t>
        </is>
      </c>
      <c r="E99" s="3" t="inlineStr">
        <is>
          <t>INST-FL-Any-Std-Disp-Medium</t>
        </is>
      </c>
      <c r="F99" s="3" t="inlineStr">
        <is>
          <t>Install standard prefab modules, dispersed, any eligible depth (10-100 m), Florida panhandle (east of the Perdido River), medium budget ($1-5 M)</t>
        </is>
      </c>
      <c r="G99" s="3" t="inlineStr">
        <is>
          <t>Florida panhandle (east of the Perdido River)</t>
        </is>
      </c>
      <c r="H99" s="3" t="inlineStr">
        <is>
          <t>Any eligible depth (10-100 m)</t>
        </is>
      </c>
      <c r="I99" s="3" t="inlineStr">
        <is>
          <t>Standard prefab module ($2,500; 6 m2; 3 m tall)</t>
        </is>
      </c>
      <c r="J99" s="3" t="inlineStr">
        <is>
          <t>Dispersed (no connectivity preference)</t>
        </is>
      </c>
      <c r="K99" s="3" t="inlineStr">
        <is>
          <t>Medium: $1-5 M</t>
        </is>
      </c>
      <c r="L99" s="3" t="n"/>
      <c r="M99" s="3" t="n"/>
      <c r="N99" s="3" t="n"/>
      <c r="O99" s="3" t="n"/>
      <c r="P99" s="3" t="n"/>
      <c r="Q99" s="3" t="n"/>
      <c r="R99" s="3" t="inlineStr">
        <is>
          <t>Strategy &gt; Strategy: Install new structures
Installation &gt; Maximum budget per scenario (USD): 5,000,000
Installation &gt; Minimum budget per scenario (USD): 1,000,000
Installation &gt; How budgets are drawn: Uniform
Installation &gt; West lon: -87.51
Installation &gt; Favour cells next to existing modules: unticked
Live solver / Search &gt; Number of scenarios to run: 100
Search &gt; Search algorithm: Random search
Search &gt; Random seed: 1,098</t>
        </is>
      </c>
      <c r="S99" s="3" t="inlineStr">
        <is>
          <t>A098_INST-FL-Any-Std-Disp-Medium.json</t>
        </is>
      </c>
      <c r="T99" s="3" t="n">
        <v>100</v>
      </c>
      <c r="U99" s="3" t="n">
        <v>1098</v>
      </c>
      <c r="V99" s="3" t="n">
        <v>572</v>
      </c>
      <c r="W99" s="3" t="n"/>
      <c r="X99" s="3">
        <f>ROUND((T99+1)*'Read me'!$C$14/60,1)</f>
        <v/>
      </c>
      <c r="Y99" s="8" t="n"/>
      <c r="Z99" s="8" t="inlineStr">
        <is>
          <t>Not started</t>
        </is>
      </c>
      <c r="AA99" s="8" t="n"/>
      <c r="AB99" s="8" t="n"/>
      <c r="AC99" s="8" t="n"/>
      <c r="AD99" s="8" t="n"/>
      <c r="AE99" s="8" t="n"/>
      <c r="AF99" s="8" t="n"/>
      <c r="AG99" s="8" t="n"/>
      <c r="AH99" s="8" t="n"/>
      <c r="AI99" s="8" t="n"/>
      <c r="AJ99" s="8">
        <f>IF(OR(AH99="",'Submission &amp; QC'!$C$18=""),"",IF(AND(ABS(AH99-'Submission &amp; QC'!$C$18)&lt;=0.0005*ABS('Submission &amp; QC'!$C$18),ABS(AI99-'Submission &amp; QC'!$C$19)&lt;=0.0005*ABS('Submission &amp; QC'!$C$19)),"Pass","Fail"))</f>
        <v/>
      </c>
      <c r="AK99" s="8" t="n"/>
      <c r="AL99" s="8" t="n"/>
    </row>
    <row r="100" ht="135" customHeight="1">
      <c r="A100" s="3" t="inlineStr">
        <is>
          <t>A099</t>
        </is>
      </c>
      <c r="B100" s="7" t="inlineStr">
        <is>
          <t>A</t>
        </is>
      </c>
      <c r="C100" s="3" t="n">
        <v>2</v>
      </c>
      <c r="D100" s="3" t="inlineStr">
        <is>
          <t>Install</t>
        </is>
      </c>
      <c r="E100" s="3" t="inlineStr">
        <is>
          <t>INST-FL-Any-Std-Disp-Large</t>
        </is>
      </c>
      <c r="F100" s="3" t="inlineStr">
        <is>
          <t>Install standard prefab modules, dispersed, any eligible depth (10-100 m), Florida panhandle (east of the Perdido River), large budget ($5-15 M)</t>
        </is>
      </c>
      <c r="G100" s="3" t="inlineStr">
        <is>
          <t>Florida panhandle (east of the Perdido River)</t>
        </is>
      </c>
      <c r="H100" s="3" t="inlineStr">
        <is>
          <t>Any eligible depth (10-100 m)</t>
        </is>
      </c>
      <c r="I100" s="3" t="inlineStr">
        <is>
          <t>Standard prefab module ($2,500; 6 m2; 3 m tall)</t>
        </is>
      </c>
      <c r="J100" s="3" t="inlineStr">
        <is>
          <t>Dispersed (no connectivity preference)</t>
        </is>
      </c>
      <c r="K100" s="3" t="inlineStr">
        <is>
          <t>Large: $5-15 M</t>
        </is>
      </c>
      <c r="L100" s="3" t="n"/>
      <c r="M100" s="3" t="n"/>
      <c r="N100" s="3" t="n"/>
      <c r="O100" s="3" t="n"/>
      <c r="P100" s="3" t="n"/>
      <c r="Q100" s="3" t="n"/>
      <c r="R100" s="3" t="inlineStr">
        <is>
          <t>Strategy &gt; Strategy: Install new structures
Installation &gt; Maximum budget per scenario (USD): 15,000,000
Installation &gt; Minimum budget per scenario (USD): 5,000,000
Installation &gt; How budgets are drawn: Uniform
Installation &gt; West lon: -87.51
Installation &gt; Favour cells next to existing modules: unticked
Live solver / Search &gt; Number of scenarios to run: 100
Search &gt; Search algorithm: Random search
Search &gt; Random seed: 1,099</t>
        </is>
      </c>
      <c r="S100" s="3" t="inlineStr">
        <is>
          <t>A099_INST-FL-Any-Std-Disp-Large.json</t>
        </is>
      </c>
      <c r="T100" s="3" t="n">
        <v>100</v>
      </c>
      <c r="U100" s="3" t="n">
        <v>1099</v>
      </c>
      <c r="V100" s="3" t="n">
        <v>572</v>
      </c>
      <c r="W100" s="3" t="n"/>
      <c r="X100" s="3">
        <f>ROUND((T100+1)*'Read me'!$C$14/60,1)</f>
        <v/>
      </c>
      <c r="Y100" s="8" t="n"/>
      <c r="Z100" s="8" t="inlineStr">
        <is>
          <t>Not started</t>
        </is>
      </c>
      <c r="AA100" s="8" t="n"/>
      <c r="AB100" s="8" t="n"/>
      <c r="AC100" s="8" t="n"/>
      <c r="AD100" s="8" t="n"/>
      <c r="AE100" s="8" t="n"/>
      <c r="AF100" s="8" t="n"/>
      <c r="AG100" s="8" t="n"/>
      <c r="AH100" s="8" t="n"/>
      <c r="AI100" s="8" t="n"/>
      <c r="AJ100" s="8">
        <f>IF(OR(AH100="",'Submission &amp; QC'!$C$18=""),"",IF(AND(ABS(AH100-'Submission &amp; QC'!$C$18)&lt;=0.0005*ABS('Submission &amp; QC'!$C$18),ABS(AI100-'Submission &amp; QC'!$C$19)&lt;=0.0005*ABS('Submission &amp; QC'!$C$19)),"Pass","Fail"))</f>
        <v/>
      </c>
      <c r="AK100" s="8" t="n"/>
      <c r="AL100" s="8" t="n"/>
    </row>
    <row r="101" ht="150" customHeight="1">
      <c r="A101" s="3" t="inlineStr">
        <is>
          <t>A100</t>
        </is>
      </c>
      <c r="B101" s="7" t="inlineStr">
        <is>
          <t>A</t>
        </is>
      </c>
      <c r="C101" s="3" t="n">
        <v>2</v>
      </c>
      <c r="D101" s="3" t="inlineStr">
        <is>
          <t>Install</t>
        </is>
      </c>
      <c r="E101" s="3" t="inlineStr">
        <is>
          <t>INST-FL-Any-Std-Clust-Small</t>
        </is>
      </c>
      <c r="F101" s="3" t="inlineStr">
        <is>
          <t>Install standard prefab modules, clustered, any eligible depth (10-100 m), Florida panhandle (east of the Perdido River), small budget ($0.1-1 M)</t>
        </is>
      </c>
      <c r="G101" s="3" t="inlineStr">
        <is>
          <t>Florida panhandle (east of the Perdido River)</t>
        </is>
      </c>
      <c r="H101" s="3" t="inlineStr">
        <is>
          <t>Any eligible depth (10-100 m)</t>
        </is>
      </c>
      <c r="I101" s="3" t="inlineStr">
        <is>
          <t>Standard prefab module ($2,500; 6 m2; 3 m tall)</t>
        </is>
      </c>
      <c r="J101" s="3" t="inlineStr">
        <is>
          <t>Clustered (favour cells next to existing modules)</t>
        </is>
      </c>
      <c r="K101" s="3" t="inlineStr">
        <is>
          <t>Small: $0.1-1 M</t>
        </is>
      </c>
      <c r="L101" s="3" t="n"/>
      <c r="M101" s="3" t="n"/>
      <c r="N101" s="3" t="n"/>
      <c r="O101" s="3" t="n"/>
      <c r="P101" s="3" t="n"/>
      <c r="Q101" s="3" t="n"/>
      <c r="R101" s="3" t="inlineStr">
        <is>
          <t>Strategy &gt; Strategy: Install new structures
Installation &gt; Maximum budget per scenario (USD): 1,000,000
Installation &gt; Minimum budget per scenario (USD): 100,000
Installation &gt; How budgets are drawn: Uniform
Installation &gt; West lon: -87.51
Installation &gt; Favour cells next to existing modules: ticked
Installation &gt; Connectivity bonus: 10
Live solver / Search &gt; Number of scenarios to run: 100
Search &gt; Search algorithm: Random search
Search &gt; Random seed: 1,100</t>
        </is>
      </c>
      <c r="S101" s="3" t="inlineStr">
        <is>
          <t>A100_INST-FL-Any-Std-Clust-Small.json</t>
        </is>
      </c>
      <c r="T101" s="3" t="n">
        <v>100</v>
      </c>
      <c r="U101" s="3" t="n">
        <v>1100</v>
      </c>
      <c r="V101" s="3" t="n">
        <v>572</v>
      </c>
      <c r="W101" s="3" t="n"/>
      <c r="X101" s="3">
        <f>ROUND((T101+1)*'Read me'!$C$14/60,1)</f>
        <v/>
      </c>
      <c r="Y101" s="8" t="n"/>
      <c r="Z101" s="8" t="inlineStr">
        <is>
          <t>Not started</t>
        </is>
      </c>
      <c r="AA101" s="8" t="n"/>
      <c r="AB101" s="8" t="n"/>
      <c r="AC101" s="8" t="n"/>
      <c r="AD101" s="8" t="n"/>
      <c r="AE101" s="8" t="n"/>
      <c r="AF101" s="8" t="n"/>
      <c r="AG101" s="8" t="n"/>
      <c r="AH101" s="8" t="n"/>
      <c r="AI101" s="8" t="n"/>
      <c r="AJ101" s="8">
        <f>IF(OR(AH101="",'Submission &amp; QC'!$C$18=""),"",IF(AND(ABS(AH101-'Submission &amp; QC'!$C$18)&lt;=0.0005*ABS('Submission &amp; QC'!$C$18),ABS(AI101-'Submission &amp; QC'!$C$19)&lt;=0.0005*ABS('Submission &amp; QC'!$C$19)),"Pass","Fail"))</f>
        <v/>
      </c>
      <c r="AK101" s="8" t="n"/>
      <c r="AL101" s="8" t="n"/>
    </row>
    <row r="102" ht="150" customHeight="1">
      <c r="A102" s="3" t="inlineStr">
        <is>
          <t>A101</t>
        </is>
      </c>
      <c r="B102" s="7" t="inlineStr">
        <is>
          <t>A</t>
        </is>
      </c>
      <c r="C102" s="3" t="n">
        <v>2</v>
      </c>
      <c r="D102" s="3" t="inlineStr">
        <is>
          <t>Install</t>
        </is>
      </c>
      <c r="E102" s="3" t="inlineStr">
        <is>
          <t>INST-FL-Any-Std-Clust-Medium</t>
        </is>
      </c>
      <c r="F102" s="3" t="inlineStr">
        <is>
          <t>Install standard prefab modules, clustered, any eligible depth (10-100 m), Florida panhandle (east of the Perdido River), medium budget ($1-5 M)</t>
        </is>
      </c>
      <c r="G102" s="3" t="inlineStr">
        <is>
          <t>Florida panhandle (east of the Perdido River)</t>
        </is>
      </c>
      <c r="H102" s="3" t="inlineStr">
        <is>
          <t>Any eligible depth (10-100 m)</t>
        </is>
      </c>
      <c r="I102" s="3" t="inlineStr">
        <is>
          <t>Standard prefab module ($2,500; 6 m2; 3 m tall)</t>
        </is>
      </c>
      <c r="J102" s="3" t="inlineStr">
        <is>
          <t>Clustered (favour cells next to existing modules)</t>
        </is>
      </c>
      <c r="K102" s="3" t="inlineStr">
        <is>
          <t>Medium: $1-5 M</t>
        </is>
      </c>
      <c r="L102" s="3" t="n"/>
      <c r="M102" s="3" t="n"/>
      <c r="N102" s="3" t="n"/>
      <c r="O102" s="3" t="n"/>
      <c r="P102" s="3" t="n"/>
      <c r="Q102" s="3" t="n"/>
      <c r="R102" s="3" t="inlineStr">
        <is>
          <t>Strategy &gt; Strategy: Install new structures
Installation &gt; Maximum budget per scenario (USD): 5,000,000
Installation &gt; Minimum budget per scenario (USD): 1,000,000
Installation &gt; How budgets are drawn: Uniform
Installation &gt; West lon: -87.51
Installation &gt; Favour cells next to existing modules: ticked
Installation &gt; Connectivity bonus: 10
Live solver / Search &gt; Number of scenarios to run: 100
Search &gt; Search algorithm: Random search
Search &gt; Random seed: 1,101</t>
        </is>
      </c>
      <c r="S102" s="3" t="inlineStr">
        <is>
          <t>A101_INST-FL-Any-Std-Clust-Medium.json</t>
        </is>
      </c>
      <c r="T102" s="3" t="n">
        <v>100</v>
      </c>
      <c r="U102" s="3" t="n">
        <v>1101</v>
      </c>
      <c r="V102" s="3" t="n">
        <v>572</v>
      </c>
      <c r="W102" s="3" t="n"/>
      <c r="X102" s="3">
        <f>ROUND((T102+1)*'Read me'!$C$14/60,1)</f>
        <v/>
      </c>
      <c r="Y102" s="8" t="n"/>
      <c r="Z102" s="8" t="inlineStr">
        <is>
          <t>Not started</t>
        </is>
      </c>
      <c r="AA102" s="8" t="n"/>
      <c r="AB102" s="8" t="n"/>
      <c r="AC102" s="8" t="n"/>
      <c r="AD102" s="8" t="n"/>
      <c r="AE102" s="8" t="n"/>
      <c r="AF102" s="8" t="n"/>
      <c r="AG102" s="8" t="n"/>
      <c r="AH102" s="8" t="n"/>
      <c r="AI102" s="8" t="n"/>
      <c r="AJ102" s="8">
        <f>IF(OR(AH102="",'Submission &amp; QC'!$C$18=""),"",IF(AND(ABS(AH102-'Submission &amp; QC'!$C$18)&lt;=0.0005*ABS('Submission &amp; QC'!$C$18),ABS(AI102-'Submission &amp; QC'!$C$19)&lt;=0.0005*ABS('Submission &amp; QC'!$C$19)),"Pass","Fail"))</f>
        <v/>
      </c>
      <c r="AK102" s="8" t="n"/>
      <c r="AL102" s="8" t="n"/>
    </row>
    <row r="103" ht="150" customHeight="1">
      <c r="A103" s="3" t="inlineStr">
        <is>
          <t>A102</t>
        </is>
      </c>
      <c r="B103" s="7" t="inlineStr">
        <is>
          <t>A</t>
        </is>
      </c>
      <c r="C103" s="3" t="n">
        <v>2</v>
      </c>
      <c r="D103" s="3" t="inlineStr">
        <is>
          <t>Install</t>
        </is>
      </c>
      <c r="E103" s="3" t="inlineStr">
        <is>
          <t>INST-FL-Any-Std-Clust-Large</t>
        </is>
      </c>
      <c r="F103" s="3" t="inlineStr">
        <is>
          <t>Install standard prefab modules, clustered, any eligible depth (10-100 m), Florida panhandle (east of the Perdido River), large budget ($5-15 M)</t>
        </is>
      </c>
      <c r="G103" s="3" t="inlineStr">
        <is>
          <t>Florida panhandle (east of the Perdido River)</t>
        </is>
      </c>
      <c r="H103" s="3" t="inlineStr">
        <is>
          <t>Any eligible depth (10-100 m)</t>
        </is>
      </c>
      <c r="I103" s="3" t="inlineStr">
        <is>
          <t>Standard prefab module ($2,500; 6 m2; 3 m tall)</t>
        </is>
      </c>
      <c r="J103" s="3" t="inlineStr">
        <is>
          <t>Clustered (favour cells next to existing modules)</t>
        </is>
      </c>
      <c r="K103" s="3" t="inlineStr">
        <is>
          <t>Large: $5-15 M</t>
        </is>
      </c>
      <c r="L103" s="3" t="n"/>
      <c r="M103" s="3" t="n"/>
      <c r="N103" s="3" t="n"/>
      <c r="O103" s="3" t="n"/>
      <c r="P103" s="3" t="n"/>
      <c r="Q103" s="3" t="n"/>
      <c r="R103" s="3" t="inlineStr">
        <is>
          <t>Strategy &gt; Strategy: Install new structures
Installation &gt; Maximum budget per scenario (USD): 15,000,000
Installation &gt; Minimum budget per scenario (USD): 5,000,000
Installation &gt; How budgets are drawn: Uniform
Installation &gt; West lon: -87.51
Installation &gt; Favour cells next to existing modules: ticked
Installation &gt; Connectivity bonus: 10
Live solver / Search &gt; Number of scenarios to run: 100
Search &gt; Search algorithm: Random search
Search &gt; Random seed: 1,102</t>
        </is>
      </c>
      <c r="S103" s="3" t="inlineStr">
        <is>
          <t>A102_INST-FL-Any-Std-Clust-Large.json</t>
        </is>
      </c>
      <c r="T103" s="3" t="n">
        <v>100</v>
      </c>
      <c r="U103" s="3" t="n">
        <v>1102</v>
      </c>
      <c r="V103" s="3" t="n">
        <v>572</v>
      </c>
      <c r="W103" s="3" t="n"/>
      <c r="X103" s="3">
        <f>ROUND((T103+1)*'Read me'!$C$14/60,1)</f>
        <v/>
      </c>
      <c r="Y103" s="8" t="n"/>
      <c r="Z103" s="8" t="inlineStr">
        <is>
          <t>Not started</t>
        </is>
      </c>
      <c r="AA103" s="8" t="n"/>
      <c r="AB103" s="8" t="n"/>
      <c r="AC103" s="8" t="n"/>
      <c r="AD103" s="8" t="n"/>
      <c r="AE103" s="8" t="n"/>
      <c r="AF103" s="8" t="n"/>
      <c r="AG103" s="8" t="n"/>
      <c r="AH103" s="8" t="n"/>
      <c r="AI103" s="8" t="n"/>
      <c r="AJ103" s="8">
        <f>IF(OR(AH103="",'Submission &amp; QC'!$C$18=""),"",IF(AND(ABS(AH103-'Submission &amp; QC'!$C$18)&lt;=0.0005*ABS('Submission &amp; QC'!$C$18),ABS(AI103-'Submission &amp; QC'!$C$19)&lt;=0.0005*ABS('Submission &amp; QC'!$C$19)),"Pass","Fail"))</f>
        <v/>
      </c>
      <c r="AK103" s="8" t="n"/>
      <c r="AL103" s="8" t="n"/>
    </row>
    <row r="104" ht="180" customHeight="1">
      <c r="A104" s="3" t="inlineStr">
        <is>
          <t>A103</t>
        </is>
      </c>
      <c r="B104" s="7" t="inlineStr">
        <is>
          <t>A</t>
        </is>
      </c>
      <c r="C104" s="3" t="n">
        <v>3</v>
      </c>
      <c r="D104" s="3" t="inlineStr">
        <is>
          <t>Install</t>
        </is>
      </c>
      <c r="E104" s="3" t="inlineStr">
        <is>
          <t>INST-FL-Any-Large-Disp-Small</t>
        </is>
      </c>
      <c r="F104" s="3" t="inlineStr">
        <is>
          <t>Install large modules, dispersed, any eligible depth (10-100 m), Florida panhandle (east of the Perdido River), small budget ($0.1-1 M)</t>
        </is>
      </c>
      <c r="G104" s="3" t="inlineStr">
        <is>
          <t>Florida panhandle (east of the Perdido River)</t>
        </is>
      </c>
      <c r="H104" s="3" t="inlineStr">
        <is>
          <t>Any eligible depth (10-100 m)</t>
        </is>
      </c>
      <c r="I104" s="3" t="inlineStr">
        <is>
          <t>Large module ($12,000; 20 m2; 6 m tall)</t>
        </is>
      </c>
      <c r="J104" s="3" t="inlineStr">
        <is>
          <t>Dispersed (no connectivity preference)</t>
        </is>
      </c>
      <c r="K104" s="3" t="inlineStr">
        <is>
          <t>Small: $0.1-1 M</t>
        </is>
      </c>
      <c r="L104" s="3" t="n"/>
      <c r="M104" s="3" t="n"/>
      <c r="N104" s="3" t="n"/>
      <c r="O104" s="3" t="n"/>
      <c r="P104" s="3" t="n"/>
      <c r="Q104" s="3" t="n"/>
      <c r="R104" s="3" t="inlineStr">
        <is>
          <t>Strategy &gt; Strategy: Install new structures
Installation &gt; Maximum budget per scenario (USD): 1,000,000
Installation &gt; Minimum budget per scenario (USD): 100,000
Installation &gt; How budgets are drawn: Uniform
Installation &gt; West lon: -87.51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1,103</t>
        </is>
      </c>
      <c r="S104" s="3" t="inlineStr">
        <is>
          <t>A103_INST-FL-Any-Large-Disp-Small.json</t>
        </is>
      </c>
      <c r="T104" s="3" t="n">
        <v>100</v>
      </c>
      <c r="U104" s="3" t="n">
        <v>1103</v>
      </c>
      <c r="V104" s="3" t="n">
        <v>572</v>
      </c>
      <c r="W104" s="3" t="n"/>
      <c r="X104" s="3">
        <f>ROUND((T104+1)*'Read me'!$C$14/60,1)</f>
        <v/>
      </c>
      <c r="Y104" s="8" t="n"/>
      <c r="Z104" s="8" t="inlineStr">
        <is>
          <t>Not started</t>
        </is>
      </c>
      <c r="AA104" s="8" t="n"/>
      <c r="AB104" s="8" t="n"/>
      <c r="AC104" s="8" t="n"/>
      <c r="AD104" s="8" t="n"/>
      <c r="AE104" s="8" t="n"/>
      <c r="AF104" s="8" t="n"/>
      <c r="AG104" s="8" t="n"/>
      <c r="AH104" s="8" t="n"/>
      <c r="AI104" s="8" t="n"/>
      <c r="AJ104" s="8">
        <f>IF(OR(AH104="",'Submission &amp; QC'!$C$18=""),"",IF(AND(ABS(AH104-'Submission &amp; QC'!$C$18)&lt;=0.0005*ABS('Submission &amp; QC'!$C$18),ABS(AI104-'Submission &amp; QC'!$C$19)&lt;=0.0005*ABS('Submission &amp; QC'!$C$19)),"Pass","Fail"))</f>
        <v/>
      </c>
      <c r="AK104" s="8" t="n"/>
      <c r="AL104" s="8" t="n"/>
    </row>
    <row r="105" ht="180" customHeight="1">
      <c r="A105" s="3" t="inlineStr">
        <is>
          <t>A104</t>
        </is>
      </c>
      <c r="B105" s="7" t="inlineStr">
        <is>
          <t>A</t>
        </is>
      </c>
      <c r="C105" s="3" t="n">
        <v>3</v>
      </c>
      <c r="D105" s="3" t="inlineStr">
        <is>
          <t>Install</t>
        </is>
      </c>
      <c r="E105" s="3" t="inlineStr">
        <is>
          <t>INST-FL-Any-Large-Disp-Medium</t>
        </is>
      </c>
      <c r="F105" s="3" t="inlineStr">
        <is>
          <t>Install large modules, dispersed, any eligible depth (10-100 m), Florida panhandle (east of the Perdido River), medium budget ($1-5 M)</t>
        </is>
      </c>
      <c r="G105" s="3" t="inlineStr">
        <is>
          <t>Florida panhandle (east of the Perdido River)</t>
        </is>
      </c>
      <c r="H105" s="3" t="inlineStr">
        <is>
          <t>Any eligible depth (10-100 m)</t>
        </is>
      </c>
      <c r="I105" s="3" t="inlineStr">
        <is>
          <t>Large module ($12,000; 20 m2; 6 m tall)</t>
        </is>
      </c>
      <c r="J105" s="3" t="inlineStr">
        <is>
          <t>Dispersed (no connectivity preference)</t>
        </is>
      </c>
      <c r="K105" s="3" t="inlineStr">
        <is>
          <t>Medium: $1-5 M</t>
        </is>
      </c>
      <c r="L105" s="3" t="n"/>
      <c r="M105" s="3" t="n"/>
      <c r="N105" s="3" t="n"/>
      <c r="O105" s="3" t="n"/>
      <c r="P105" s="3" t="n"/>
      <c r="Q105" s="3" t="n"/>
      <c r="R105" s="3" t="inlineStr">
        <is>
          <t>Strategy &gt; Strategy: Install new structures
Installation &gt; Maximum budget per scenario (USD): 5,000,000
Installation &gt; Minimum budget per scenario (USD): 1,000,000
Installation &gt; How budgets are drawn: Uniform
Installation &gt; West lon: -87.51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1,104</t>
        </is>
      </c>
      <c r="S105" s="3" t="inlineStr">
        <is>
          <t>A104_INST-FL-Any-Large-Disp-Medium.json</t>
        </is>
      </c>
      <c r="T105" s="3" t="n">
        <v>100</v>
      </c>
      <c r="U105" s="3" t="n">
        <v>1104</v>
      </c>
      <c r="V105" s="3" t="n">
        <v>572</v>
      </c>
      <c r="W105" s="3" t="n"/>
      <c r="X105" s="3">
        <f>ROUND((T105+1)*'Read me'!$C$14/60,1)</f>
        <v/>
      </c>
      <c r="Y105" s="8" t="n"/>
      <c r="Z105" s="8" t="inlineStr">
        <is>
          <t>Not started</t>
        </is>
      </c>
      <c r="AA105" s="8" t="n"/>
      <c r="AB105" s="8" t="n"/>
      <c r="AC105" s="8" t="n"/>
      <c r="AD105" s="8" t="n"/>
      <c r="AE105" s="8" t="n"/>
      <c r="AF105" s="8" t="n"/>
      <c r="AG105" s="8" t="n"/>
      <c r="AH105" s="8" t="n"/>
      <c r="AI105" s="8" t="n"/>
      <c r="AJ105" s="8">
        <f>IF(OR(AH105="",'Submission &amp; QC'!$C$18=""),"",IF(AND(ABS(AH105-'Submission &amp; QC'!$C$18)&lt;=0.0005*ABS('Submission &amp; QC'!$C$18),ABS(AI105-'Submission &amp; QC'!$C$19)&lt;=0.0005*ABS('Submission &amp; QC'!$C$19)),"Pass","Fail"))</f>
        <v/>
      </c>
      <c r="AK105" s="8" t="n"/>
      <c r="AL105" s="8" t="n"/>
    </row>
    <row r="106" ht="180" customHeight="1">
      <c r="A106" s="3" t="inlineStr">
        <is>
          <t>A105</t>
        </is>
      </c>
      <c r="B106" s="7" t="inlineStr">
        <is>
          <t>A</t>
        </is>
      </c>
      <c r="C106" s="3" t="n">
        <v>3</v>
      </c>
      <c r="D106" s="3" t="inlineStr">
        <is>
          <t>Install</t>
        </is>
      </c>
      <c r="E106" s="3" t="inlineStr">
        <is>
          <t>INST-FL-Any-Large-Disp-Large</t>
        </is>
      </c>
      <c r="F106" s="3" t="inlineStr">
        <is>
          <t>Install large modules, dispersed, any eligible depth (10-100 m), Florida panhandle (east of the Perdido River), large budget ($5-15 M)</t>
        </is>
      </c>
      <c r="G106" s="3" t="inlineStr">
        <is>
          <t>Florida panhandle (east of the Perdido River)</t>
        </is>
      </c>
      <c r="H106" s="3" t="inlineStr">
        <is>
          <t>Any eligible depth (10-100 m)</t>
        </is>
      </c>
      <c r="I106" s="3" t="inlineStr">
        <is>
          <t>Large module ($12,000; 20 m2; 6 m tall)</t>
        </is>
      </c>
      <c r="J106" s="3" t="inlineStr">
        <is>
          <t>Dispersed (no connectivity preference)</t>
        </is>
      </c>
      <c r="K106" s="3" t="inlineStr">
        <is>
          <t>Large: $5-15 M</t>
        </is>
      </c>
      <c r="L106" s="3" t="n"/>
      <c r="M106" s="3" t="n"/>
      <c r="N106" s="3" t="n"/>
      <c r="O106" s="3" t="n"/>
      <c r="P106" s="3" t="n"/>
      <c r="Q106" s="3" t="n"/>
      <c r="R106" s="3" t="inlineStr">
        <is>
          <t>Strategy &gt; Strategy: Install new structures
Installation &gt; Maximum budget per scenario (USD): 15,000,000
Installation &gt; Minimum budget per scenario (USD): 5,000,000
Installation &gt; How budgets are drawn: Uniform
Installation &gt; West lon: -87.51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1,105</t>
        </is>
      </c>
      <c r="S106" s="3" t="inlineStr">
        <is>
          <t>A105_INST-FL-Any-Large-Disp-Large.json</t>
        </is>
      </c>
      <c r="T106" s="3" t="n">
        <v>100</v>
      </c>
      <c r="U106" s="3" t="n">
        <v>1105</v>
      </c>
      <c r="V106" s="3" t="n">
        <v>572</v>
      </c>
      <c r="W106" s="3" t="n"/>
      <c r="X106" s="3">
        <f>ROUND((T106+1)*'Read me'!$C$14/60,1)</f>
        <v/>
      </c>
      <c r="Y106" s="8" t="n"/>
      <c r="Z106" s="8" t="inlineStr">
        <is>
          <t>Not started</t>
        </is>
      </c>
      <c r="AA106" s="8" t="n"/>
      <c r="AB106" s="8" t="n"/>
      <c r="AC106" s="8" t="n"/>
      <c r="AD106" s="8" t="n"/>
      <c r="AE106" s="8" t="n"/>
      <c r="AF106" s="8" t="n"/>
      <c r="AG106" s="8" t="n"/>
      <c r="AH106" s="8" t="n"/>
      <c r="AI106" s="8" t="n"/>
      <c r="AJ106" s="8">
        <f>IF(OR(AH106="",'Submission &amp; QC'!$C$18=""),"",IF(AND(ABS(AH106-'Submission &amp; QC'!$C$18)&lt;=0.0005*ABS('Submission &amp; QC'!$C$18),ABS(AI106-'Submission &amp; QC'!$C$19)&lt;=0.0005*ABS('Submission &amp; QC'!$C$19)),"Pass","Fail"))</f>
        <v/>
      </c>
      <c r="AK106" s="8" t="n"/>
      <c r="AL106" s="8" t="n"/>
    </row>
    <row r="107" ht="195" customHeight="1">
      <c r="A107" s="3" t="inlineStr">
        <is>
          <t>A106</t>
        </is>
      </c>
      <c r="B107" s="7" t="inlineStr">
        <is>
          <t>A</t>
        </is>
      </c>
      <c r="C107" s="3" t="n">
        <v>3</v>
      </c>
      <c r="D107" s="3" t="inlineStr">
        <is>
          <t>Install</t>
        </is>
      </c>
      <c r="E107" s="3" t="inlineStr">
        <is>
          <t>INST-FL-Any-Large-Clust-Small</t>
        </is>
      </c>
      <c r="F107" s="3" t="inlineStr">
        <is>
          <t>Install large modules, clustered, any eligible depth (10-100 m), Florida panhandle (east of the Perdido River), small budget ($0.1-1 M)</t>
        </is>
      </c>
      <c r="G107" s="3" t="inlineStr">
        <is>
          <t>Florida panhandle (east of the Perdido River)</t>
        </is>
      </c>
      <c r="H107" s="3" t="inlineStr">
        <is>
          <t>Any eligible depth (10-100 m)</t>
        </is>
      </c>
      <c r="I107" s="3" t="inlineStr">
        <is>
          <t>Large module ($12,000; 20 m2; 6 m tall)</t>
        </is>
      </c>
      <c r="J107" s="3" t="inlineStr">
        <is>
          <t>Clustered (favour cells next to existing modules)</t>
        </is>
      </c>
      <c r="K107" s="3" t="inlineStr">
        <is>
          <t>Small: $0.1-1 M</t>
        </is>
      </c>
      <c r="L107" s="3" t="n"/>
      <c r="M107" s="3" t="n"/>
      <c r="N107" s="3" t="n"/>
      <c r="O107" s="3" t="n"/>
      <c r="P107" s="3" t="n"/>
      <c r="Q107" s="3" t="n"/>
      <c r="R107" s="3" t="inlineStr">
        <is>
          <t>Strategy &gt; Strategy: Install new structures
Installation &gt; Maximum budget per scenario (USD): 1,000,000
Installation &gt; Minimum budget per scenario (USD): 100,000
Installation &gt; How budgets are drawn: Uniform
Installation &gt; West lon: -87.51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1,106</t>
        </is>
      </c>
      <c r="S107" s="3" t="inlineStr">
        <is>
          <t>A106_INST-FL-Any-Large-Clust-Small.json</t>
        </is>
      </c>
      <c r="T107" s="3" t="n">
        <v>100</v>
      </c>
      <c r="U107" s="3" t="n">
        <v>1106</v>
      </c>
      <c r="V107" s="3" t="n">
        <v>572</v>
      </c>
      <c r="W107" s="3" t="n"/>
      <c r="X107" s="3">
        <f>ROUND((T107+1)*'Read me'!$C$14/60,1)</f>
        <v/>
      </c>
      <c r="Y107" s="8" t="n"/>
      <c r="Z107" s="8" t="inlineStr">
        <is>
          <t>Not started</t>
        </is>
      </c>
      <c r="AA107" s="8" t="n"/>
      <c r="AB107" s="8" t="n"/>
      <c r="AC107" s="8" t="n"/>
      <c r="AD107" s="8" t="n"/>
      <c r="AE107" s="8" t="n"/>
      <c r="AF107" s="8" t="n"/>
      <c r="AG107" s="8" t="n"/>
      <c r="AH107" s="8" t="n"/>
      <c r="AI107" s="8" t="n"/>
      <c r="AJ107" s="8">
        <f>IF(OR(AH107="",'Submission &amp; QC'!$C$18=""),"",IF(AND(ABS(AH107-'Submission &amp; QC'!$C$18)&lt;=0.0005*ABS('Submission &amp; QC'!$C$18),ABS(AI107-'Submission &amp; QC'!$C$19)&lt;=0.0005*ABS('Submission &amp; QC'!$C$19)),"Pass","Fail"))</f>
        <v/>
      </c>
      <c r="AK107" s="8" t="n"/>
      <c r="AL107" s="8" t="n"/>
    </row>
    <row r="108" ht="195" customHeight="1">
      <c r="A108" s="3" t="inlineStr">
        <is>
          <t>A107</t>
        </is>
      </c>
      <c r="B108" s="7" t="inlineStr">
        <is>
          <t>A</t>
        </is>
      </c>
      <c r="C108" s="3" t="n">
        <v>3</v>
      </c>
      <c r="D108" s="3" t="inlineStr">
        <is>
          <t>Install</t>
        </is>
      </c>
      <c r="E108" s="3" t="inlineStr">
        <is>
          <t>INST-FL-Any-Large-Clust-Medium</t>
        </is>
      </c>
      <c r="F108" s="3" t="inlineStr">
        <is>
          <t>Install large modules, clustered, any eligible depth (10-100 m), Florida panhandle (east of the Perdido River), medium budget ($1-5 M)</t>
        </is>
      </c>
      <c r="G108" s="3" t="inlineStr">
        <is>
          <t>Florida panhandle (east of the Perdido River)</t>
        </is>
      </c>
      <c r="H108" s="3" t="inlineStr">
        <is>
          <t>Any eligible depth (10-100 m)</t>
        </is>
      </c>
      <c r="I108" s="3" t="inlineStr">
        <is>
          <t>Large module ($12,000; 20 m2; 6 m tall)</t>
        </is>
      </c>
      <c r="J108" s="3" t="inlineStr">
        <is>
          <t>Clustered (favour cells next to existing modules)</t>
        </is>
      </c>
      <c r="K108" s="3" t="inlineStr">
        <is>
          <t>Medium: $1-5 M</t>
        </is>
      </c>
      <c r="L108" s="3" t="n"/>
      <c r="M108" s="3" t="n"/>
      <c r="N108" s="3" t="n"/>
      <c r="O108" s="3" t="n"/>
      <c r="P108" s="3" t="n"/>
      <c r="Q108" s="3" t="n"/>
      <c r="R108" s="3" t="inlineStr">
        <is>
          <t>Strategy &gt; Strategy: Install new structures
Installation &gt; Maximum budget per scenario (USD): 5,000,000
Installation &gt; Minimum budget per scenario (USD): 1,000,000
Installation &gt; How budgets are drawn: Uniform
Installation &gt; West lon: -87.51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1,107</t>
        </is>
      </c>
      <c r="S108" s="3" t="inlineStr">
        <is>
          <t>A107_INST-FL-Any-Large-Clust-Medium.json</t>
        </is>
      </c>
      <c r="T108" s="3" t="n">
        <v>100</v>
      </c>
      <c r="U108" s="3" t="n">
        <v>1107</v>
      </c>
      <c r="V108" s="3" t="n">
        <v>572</v>
      </c>
      <c r="W108" s="3" t="n"/>
      <c r="X108" s="3">
        <f>ROUND((T108+1)*'Read me'!$C$14/60,1)</f>
        <v/>
      </c>
      <c r="Y108" s="8" t="n"/>
      <c r="Z108" s="8" t="inlineStr">
        <is>
          <t>Not started</t>
        </is>
      </c>
      <c r="AA108" s="8" t="n"/>
      <c r="AB108" s="8" t="n"/>
      <c r="AC108" s="8" t="n"/>
      <c r="AD108" s="8" t="n"/>
      <c r="AE108" s="8" t="n"/>
      <c r="AF108" s="8" t="n"/>
      <c r="AG108" s="8" t="n"/>
      <c r="AH108" s="8" t="n"/>
      <c r="AI108" s="8" t="n"/>
      <c r="AJ108" s="8">
        <f>IF(OR(AH108="",'Submission &amp; QC'!$C$18=""),"",IF(AND(ABS(AH108-'Submission &amp; QC'!$C$18)&lt;=0.0005*ABS('Submission &amp; QC'!$C$18),ABS(AI108-'Submission &amp; QC'!$C$19)&lt;=0.0005*ABS('Submission &amp; QC'!$C$19)),"Pass","Fail"))</f>
        <v/>
      </c>
      <c r="AK108" s="8" t="n"/>
      <c r="AL108" s="8" t="n"/>
    </row>
    <row r="109" ht="195" customHeight="1">
      <c r="A109" s="3" t="inlineStr">
        <is>
          <t>A108</t>
        </is>
      </c>
      <c r="B109" s="7" t="inlineStr">
        <is>
          <t>A</t>
        </is>
      </c>
      <c r="C109" s="3" t="n">
        <v>3</v>
      </c>
      <c r="D109" s="3" t="inlineStr">
        <is>
          <t>Install</t>
        </is>
      </c>
      <c r="E109" s="3" t="inlineStr">
        <is>
          <t>INST-FL-Any-Large-Clust-Large</t>
        </is>
      </c>
      <c r="F109" s="3" t="inlineStr">
        <is>
          <t>Install large modules, clustered, any eligible depth (10-100 m), Florida panhandle (east of the Perdido River), large budget ($5-15 M)</t>
        </is>
      </c>
      <c r="G109" s="3" t="inlineStr">
        <is>
          <t>Florida panhandle (east of the Perdido River)</t>
        </is>
      </c>
      <c r="H109" s="3" t="inlineStr">
        <is>
          <t>Any eligible depth (10-100 m)</t>
        </is>
      </c>
      <c r="I109" s="3" t="inlineStr">
        <is>
          <t>Large module ($12,000; 20 m2; 6 m tall)</t>
        </is>
      </c>
      <c r="J109" s="3" t="inlineStr">
        <is>
          <t>Clustered (favour cells next to existing modules)</t>
        </is>
      </c>
      <c r="K109" s="3" t="inlineStr">
        <is>
          <t>Large: $5-15 M</t>
        </is>
      </c>
      <c r="L109" s="3" t="n"/>
      <c r="M109" s="3" t="n"/>
      <c r="N109" s="3" t="n"/>
      <c r="O109" s="3" t="n"/>
      <c r="P109" s="3" t="n"/>
      <c r="Q109" s="3" t="n"/>
      <c r="R109" s="3" t="inlineStr">
        <is>
          <t>Strategy &gt; Strategy: Install new structures
Installation &gt; Maximum budget per scenario (USD): 15,000,000
Installation &gt; Minimum budget per scenario (USD): 5,000,000
Installation &gt; How budgets are drawn: Uniform
Installation &gt; West lon: -87.51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1,108</t>
        </is>
      </c>
      <c r="S109" s="3" t="inlineStr">
        <is>
          <t>A108_INST-FL-Any-Large-Clust-Large.json</t>
        </is>
      </c>
      <c r="T109" s="3" t="n">
        <v>100</v>
      </c>
      <c r="U109" s="3" t="n">
        <v>1108</v>
      </c>
      <c r="V109" s="3" t="n">
        <v>572</v>
      </c>
      <c r="W109" s="3" t="n"/>
      <c r="X109" s="3">
        <f>ROUND((T109+1)*'Read me'!$C$14/60,1)</f>
        <v/>
      </c>
      <c r="Y109" s="8" t="n"/>
      <c r="Z109" s="8" t="inlineStr">
        <is>
          <t>Not started</t>
        </is>
      </c>
      <c r="AA109" s="8" t="n"/>
      <c r="AB109" s="8" t="n"/>
      <c r="AC109" s="8" t="n"/>
      <c r="AD109" s="8" t="n"/>
      <c r="AE109" s="8" t="n"/>
      <c r="AF109" s="8" t="n"/>
      <c r="AG109" s="8" t="n"/>
      <c r="AH109" s="8" t="n"/>
      <c r="AI109" s="8" t="n"/>
      <c r="AJ109" s="8">
        <f>IF(OR(AH109="",'Submission &amp; QC'!$C$18=""),"",IF(AND(ABS(AH109-'Submission &amp; QC'!$C$18)&lt;=0.0005*ABS('Submission &amp; QC'!$C$18),ABS(AI109-'Submission &amp; QC'!$C$19)&lt;=0.0005*ABS('Submission &amp; QC'!$C$19)),"Pass","Fail"))</f>
        <v/>
      </c>
      <c r="AK109" s="8" t="n"/>
      <c r="AL109" s="8" t="n"/>
    </row>
    <row r="110" ht="165" customHeight="1">
      <c r="A110" s="3" t="inlineStr">
        <is>
          <t>A109</t>
        </is>
      </c>
      <c r="B110" s="7" t="inlineStr">
        <is>
          <t>A</t>
        </is>
      </c>
      <c r="C110" s="3" t="n">
        <v>2</v>
      </c>
      <c r="D110" s="3" t="inlineStr">
        <is>
          <t>Install</t>
        </is>
      </c>
      <c r="E110" s="3" t="inlineStr">
        <is>
          <t>INST-FL-Shallow-Std-Disp-Small</t>
        </is>
      </c>
      <c r="F110" s="3" t="inlineStr">
        <is>
          <t>Install standard prefab modules, dispersed, shallow (10-30 m), Florida panhandle (east of the Perdido River), small budget ($0.1-1 M)</t>
        </is>
      </c>
      <c r="G110" s="3" t="inlineStr">
        <is>
          <t>Florida panhandle (east of the Perdido River)</t>
        </is>
      </c>
      <c r="H110" s="3" t="inlineStr">
        <is>
          <t>Shallow (10-30 m)</t>
        </is>
      </c>
      <c r="I110" s="3" t="inlineStr">
        <is>
          <t>Standard prefab module ($2,500; 6 m2; 3 m tall)</t>
        </is>
      </c>
      <c r="J110" s="3" t="inlineStr">
        <is>
          <t>Dispersed (no connectivity preference)</t>
        </is>
      </c>
      <c r="K110" s="3" t="inlineStr">
        <is>
          <t>Small: $0.1-1 M</t>
        </is>
      </c>
      <c r="L110" s="3" t="n"/>
      <c r="M110" s="3" t="n"/>
      <c r="N110" s="3" t="n"/>
      <c r="O110" s="3" t="n"/>
      <c r="P110" s="3" t="n"/>
      <c r="Q110" s="3" t="n"/>
      <c r="R110" s="3" t="inlineStr">
        <is>
          <t>Strategy &gt; Strategy: Install new structures
Installation &gt; Maximum budget per scenario (USD): 1,000,000
Installation &gt; Minimum budget per scenario (USD): 100,000
Installation &gt; How budgets are drawn: Uniform
Installation &gt; West lon: -87.51
Installation &gt; Min depth (m): 10
Installation &gt; Max depth (m): 30
Installation &gt; Favour cells next to existing modules: unticked
Live solver / Search &gt; Number of scenarios to run: 100
Search &gt; Search algorithm: Random search
Search &gt; Random seed: 1,109</t>
        </is>
      </c>
      <c r="S110" s="3" t="inlineStr">
        <is>
          <t>A109_INST-FL-Shallow-Std-Disp-Small.json</t>
        </is>
      </c>
      <c r="T110" s="3" t="n">
        <v>100</v>
      </c>
      <c r="U110" s="3" t="n">
        <v>1109</v>
      </c>
      <c r="V110" s="3" t="n">
        <v>207</v>
      </c>
      <c r="W110" s="3" t="n"/>
      <c r="X110" s="3">
        <f>ROUND((T110+1)*'Read me'!$C$14/60,1)</f>
        <v/>
      </c>
      <c r="Y110" s="8" t="n"/>
      <c r="Z110" s="8" t="inlineStr">
        <is>
          <t>Not started</t>
        </is>
      </c>
      <c r="AA110" s="8" t="n"/>
      <c r="AB110" s="8" t="n"/>
      <c r="AC110" s="8" t="n"/>
      <c r="AD110" s="8" t="n"/>
      <c r="AE110" s="8" t="n"/>
      <c r="AF110" s="8" t="n"/>
      <c r="AG110" s="8" t="n"/>
      <c r="AH110" s="8" t="n"/>
      <c r="AI110" s="8" t="n"/>
      <c r="AJ110" s="8">
        <f>IF(OR(AH110="",'Submission &amp; QC'!$C$18=""),"",IF(AND(ABS(AH110-'Submission &amp; QC'!$C$18)&lt;=0.0005*ABS('Submission &amp; QC'!$C$18),ABS(AI110-'Submission &amp; QC'!$C$19)&lt;=0.0005*ABS('Submission &amp; QC'!$C$19)),"Pass","Fail"))</f>
        <v/>
      </c>
      <c r="AK110" s="8" t="n"/>
      <c r="AL110" s="8" t="n"/>
    </row>
    <row r="111" ht="165" customHeight="1">
      <c r="A111" s="3" t="inlineStr">
        <is>
          <t>A110</t>
        </is>
      </c>
      <c r="B111" s="7" t="inlineStr">
        <is>
          <t>A</t>
        </is>
      </c>
      <c r="C111" s="3" t="n">
        <v>2</v>
      </c>
      <c r="D111" s="3" t="inlineStr">
        <is>
          <t>Install</t>
        </is>
      </c>
      <c r="E111" s="3" t="inlineStr">
        <is>
          <t>INST-FL-Shallow-Std-Disp-Medium</t>
        </is>
      </c>
      <c r="F111" s="3" t="inlineStr">
        <is>
          <t>Install standard prefab modules, dispersed, shallow (10-30 m), Florida panhandle (east of the Perdido River), medium budget ($1-5 M)</t>
        </is>
      </c>
      <c r="G111" s="3" t="inlineStr">
        <is>
          <t>Florida panhandle (east of the Perdido River)</t>
        </is>
      </c>
      <c r="H111" s="3" t="inlineStr">
        <is>
          <t>Shallow (10-30 m)</t>
        </is>
      </c>
      <c r="I111" s="3" t="inlineStr">
        <is>
          <t>Standard prefab module ($2,500; 6 m2; 3 m tall)</t>
        </is>
      </c>
      <c r="J111" s="3" t="inlineStr">
        <is>
          <t>Dispersed (no connectivity preference)</t>
        </is>
      </c>
      <c r="K111" s="3" t="inlineStr">
        <is>
          <t>Medium: $1-5 M</t>
        </is>
      </c>
      <c r="L111" s="3" t="n"/>
      <c r="M111" s="3" t="n"/>
      <c r="N111" s="3" t="n"/>
      <c r="O111" s="3" t="n"/>
      <c r="P111" s="3" t="n"/>
      <c r="Q111" s="3" t="n"/>
      <c r="R111" s="3" t="inlineStr">
        <is>
          <t>Strategy &gt; Strategy: Install new structures
Installation &gt; Maximum budget per scenario (USD): 5,000,000
Installation &gt; Minimum budget per scenario (USD): 1,000,000
Installation &gt; How budgets are drawn: Uniform
Installation &gt; West lon: -87.51
Installation &gt; Min depth (m): 10
Installation &gt; Max depth (m): 30
Installation &gt; Favour cells next to existing modules: unticked
Live solver / Search &gt; Number of scenarios to run: 100
Search &gt; Search algorithm: Random search
Search &gt; Random seed: 1,110</t>
        </is>
      </c>
      <c r="S111" s="3" t="inlineStr">
        <is>
          <t>A110_INST-FL-Shallow-Std-Disp-Medium.json</t>
        </is>
      </c>
      <c r="T111" s="3" t="n">
        <v>100</v>
      </c>
      <c r="U111" s="3" t="n">
        <v>1110</v>
      </c>
      <c r="V111" s="3" t="n">
        <v>207</v>
      </c>
      <c r="W111" s="3" t="n"/>
      <c r="X111" s="3">
        <f>ROUND((T111+1)*'Read me'!$C$14/60,1)</f>
        <v/>
      </c>
      <c r="Y111" s="8" t="n"/>
      <c r="Z111" s="8" t="inlineStr">
        <is>
          <t>Not started</t>
        </is>
      </c>
      <c r="AA111" s="8" t="n"/>
      <c r="AB111" s="8" t="n"/>
      <c r="AC111" s="8" t="n"/>
      <c r="AD111" s="8" t="n"/>
      <c r="AE111" s="8" t="n"/>
      <c r="AF111" s="8" t="n"/>
      <c r="AG111" s="8" t="n"/>
      <c r="AH111" s="8" t="n"/>
      <c r="AI111" s="8" t="n"/>
      <c r="AJ111" s="8">
        <f>IF(OR(AH111="",'Submission &amp; QC'!$C$18=""),"",IF(AND(ABS(AH111-'Submission &amp; QC'!$C$18)&lt;=0.0005*ABS('Submission &amp; QC'!$C$18),ABS(AI111-'Submission &amp; QC'!$C$19)&lt;=0.0005*ABS('Submission &amp; QC'!$C$19)),"Pass","Fail"))</f>
        <v/>
      </c>
      <c r="AK111" s="8" t="n"/>
      <c r="AL111" s="8" t="n"/>
    </row>
    <row r="112" ht="165" customHeight="1">
      <c r="A112" s="3" t="inlineStr">
        <is>
          <t>A111</t>
        </is>
      </c>
      <c r="B112" s="7" t="inlineStr">
        <is>
          <t>A</t>
        </is>
      </c>
      <c r="C112" s="3" t="n">
        <v>2</v>
      </c>
      <c r="D112" s="3" t="inlineStr">
        <is>
          <t>Install</t>
        </is>
      </c>
      <c r="E112" s="3" t="inlineStr">
        <is>
          <t>INST-FL-Shallow-Std-Disp-Large</t>
        </is>
      </c>
      <c r="F112" s="3" t="inlineStr">
        <is>
          <t>Install standard prefab modules, dispersed, shallow (10-30 m), Florida panhandle (east of the Perdido River), large budget ($5-15 M)</t>
        </is>
      </c>
      <c r="G112" s="3" t="inlineStr">
        <is>
          <t>Florida panhandle (east of the Perdido River)</t>
        </is>
      </c>
      <c r="H112" s="3" t="inlineStr">
        <is>
          <t>Shallow (10-30 m)</t>
        </is>
      </c>
      <c r="I112" s="3" t="inlineStr">
        <is>
          <t>Standard prefab module ($2,500; 6 m2; 3 m tall)</t>
        </is>
      </c>
      <c r="J112" s="3" t="inlineStr">
        <is>
          <t>Dispersed (no connectivity preference)</t>
        </is>
      </c>
      <c r="K112" s="3" t="inlineStr">
        <is>
          <t>Large: $5-15 M</t>
        </is>
      </c>
      <c r="L112" s="3" t="n"/>
      <c r="M112" s="3" t="n"/>
      <c r="N112" s="3" t="n"/>
      <c r="O112" s="3" t="n"/>
      <c r="P112" s="3" t="n"/>
      <c r="Q112" s="3" t="n"/>
      <c r="R112"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10
Installation &gt; Max depth (m): 30
Installation &gt; Favour cells next to existing modules: unticked
Live solver / Search &gt; Number of scenarios to run: 100
Search &gt; Search algorithm: Random search
Search &gt; Random seed: 1,111</t>
        </is>
      </c>
      <c r="S112" s="3" t="inlineStr">
        <is>
          <t>A111_INST-FL-Shallow-Std-Disp-Large.json</t>
        </is>
      </c>
      <c r="T112" s="3" t="n">
        <v>100</v>
      </c>
      <c r="U112" s="3" t="n">
        <v>1111</v>
      </c>
      <c r="V112" s="3" t="n">
        <v>207</v>
      </c>
      <c r="W112" s="3" t="n"/>
      <c r="X112" s="3">
        <f>ROUND((T112+1)*'Read me'!$C$14/60,1)</f>
        <v/>
      </c>
      <c r="Y112" s="8" t="n"/>
      <c r="Z112" s="8" t="inlineStr">
        <is>
          <t>Not started</t>
        </is>
      </c>
      <c r="AA112" s="8" t="n"/>
      <c r="AB112" s="8" t="n"/>
      <c r="AC112" s="8" t="n"/>
      <c r="AD112" s="8" t="n"/>
      <c r="AE112" s="8" t="n"/>
      <c r="AF112" s="8" t="n"/>
      <c r="AG112" s="8" t="n"/>
      <c r="AH112" s="8" t="n"/>
      <c r="AI112" s="8" t="n"/>
      <c r="AJ112" s="8">
        <f>IF(OR(AH112="",'Submission &amp; QC'!$C$18=""),"",IF(AND(ABS(AH112-'Submission &amp; QC'!$C$18)&lt;=0.0005*ABS('Submission &amp; QC'!$C$18),ABS(AI112-'Submission &amp; QC'!$C$19)&lt;=0.0005*ABS('Submission &amp; QC'!$C$19)),"Pass","Fail"))</f>
        <v/>
      </c>
      <c r="AK112" s="8" t="n"/>
      <c r="AL112" s="8" t="n"/>
    </row>
    <row r="113" ht="180" customHeight="1">
      <c r="A113" s="3" t="inlineStr">
        <is>
          <t>A112</t>
        </is>
      </c>
      <c r="B113" s="7" t="inlineStr">
        <is>
          <t>A</t>
        </is>
      </c>
      <c r="C113" s="3" t="n">
        <v>2</v>
      </c>
      <c r="D113" s="3" t="inlineStr">
        <is>
          <t>Install</t>
        </is>
      </c>
      <c r="E113" s="3" t="inlineStr">
        <is>
          <t>INST-FL-Shallow-Std-Clust-Small</t>
        </is>
      </c>
      <c r="F113" s="3" t="inlineStr">
        <is>
          <t>Install standard prefab modules, clustered, shallow (10-30 m), Florida panhandle (east of the Perdido River), small budget ($0.1-1 M)</t>
        </is>
      </c>
      <c r="G113" s="3" t="inlineStr">
        <is>
          <t>Florida panhandle (east of the Perdido River)</t>
        </is>
      </c>
      <c r="H113" s="3" t="inlineStr">
        <is>
          <t>Shallow (10-30 m)</t>
        </is>
      </c>
      <c r="I113" s="3" t="inlineStr">
        <is>
          <t>Standard prefab module ($2,500; 6 m2; 3 m tall)</t>
        </is>
      </c>
      <c r="J113" s="3" t="inlineStr">
        <is>
          <t>Clustered (favour cells next to existing modules)</t>
        </is>
      </c>
      <c r="K113" s="3" t="inlineStr">
        <is>
          <t>Small: $0.1-1 M</t>
        </is>
      </c>
      <c r="L113" s="3" t="n"/>
      <c r="M113" s="3" t="n"/>
      <c r="N113" s="3" t="n"/>
      <c r="O113" s="3" t="n"/>
      <c r="P113" s="3" t="n"/>
      <c r="Q113" s="3" t="n"/>
      <c r="R113" s="3" t="inlineStr">
        <is>
          <t>Strategy &gt; Strategy: Install new structures
Installation &gt; Maximum budget per scenario (USD): 1,000,000
Installation &gt; Minimum budget per scenario (USD): 100,000
Installation &gt; How budgets are drawn: Uniform
Installation &gt; West lon: -87.51
Installation &gt; Min depth (m): 10
Installation &gt; Max depth (m): 30
Installation &gt; Favour cells next to existing modules: ticked
Installation &gt; Connectivity bonus: 10
Live solver / Search &gt; Number of scenarios to run: 100
Search &gt; Search algorithm: Random search
Search &gt; Random seed: 1,112</t>
        </is>
      </c>
      <c r="S113" s="3" t="inlineStr">
        <is>
          <t>A112_INST-FL-Shallow-Std-Clust-Small.json</t>
        </is>
      </c>
      <c r="T113" s="3" t="n">
        <v>100</v>
      </c>
      <c r="U113" s="3" t="n">
        <v>1112</v>
      </c>
      <c r="V113" s="3" t="n">
        <v>207</v>
      </c>
      <c r="W113" s="3" t="n"/>
      <c r="X113" s="3">
        <f>ROUND((T113+1)*'Read me'!$C$14/60,1)</f>
        <v/>
      </c>
      <c r="Y113" s="8" t="n"/>
      <c r="Z113" s="8" t="inlineStr">
        <is>
          <t>Not started</t>
        </is>
      </c>
      <c r="AA113" s="8" t="n"/>
      <c r="AB113" s="8" t="n"/>
      <c r="AC113" s="8" t="n"/>
      <c r="AD113" s="8" t="n"/>
      <c r="AE113" s="8" t="n"/>
      <c r="AF113" s="8" t="n"/>
      <c r="AG113" s="8" t="n"/>
      <c r="AH113" s="8" t="n"/>
      <c r="AI113" s="8" t="n"/>
      <c r="AJ113" s="8">
        <f>IF(OR(AH113="",'Submission &amp; QC'!$C$18=""),"",IF(AND(ABS(AH113-'Submission &amp; QC'!$C$18)&lt;=0.0005*ABS('Submission &amp; QC'!$C$18),ABS(AI113-'Submission &amp; QC'!$C$19)&lt;=0.0005*ABS('Submission &amp; QC'!$C$19)),"Pass","Fail"))</f>
        <v/>
      </c>
      <c r="AK113" s="8" t="n"/>
      <c r="AL113" s="8" t="n"/>
    </row>
    <row r="114" ht="180" customHeight="1">
      <c r="A114" s="3" t="inlineStr">
        <is>
          <t>A113</t>
        </is>
      </c>
      <c r="B114" s="7" t="inlineStr">
        <is>
          <t>A</t>
        </is>
      </c>
      <c r="C114" s="3" t="n">
        <v>2</v>
      </c>
      <c r="D114" s="3" t="inlineStr">
        <is>
          <t>Install</t>
        </is>
      </c>
      <c r="E114" s="3" t="inlineStr">
        <is>
          <t>INST-FL-Shallow-Std-Clust-Medium</t>
        </is>
      </c>
      <c r="F114" s="3" t="inlineStr">
        <is>
          <t>Install standard prefab modules, clustered, shallow (10-30 m), Florida panhandle (east of the Perdido River), medium budget ($1-5 M)</t>
        </is>
      </c>
      <c r="G114" s="3" t="inlineStr">
        <is>
          <t>Florida panhandle (east of the Perdido River)</t>
        </is>
      </c>
      <c r="H114" s="3" t="inlineStr">
        <is>
          <t>Shallow (10-30 m)</t>
        </is>
      </c>
      <c r="I114" s="3" t="inlineStr">
        <is>
          <t>Standard prefab module ($2,500; 6 m2; 3 m tall)</t>
        </is>
      </c>
      <c r="J114" s="3" t="inlineStr">
        <is>
          <t>Clustered (favour cells next to existing modules)</t>
        </is>
      </c>
      <c r="K114" s="3" t="inlineStr">
        <is>
          <t>Medium: $1-5 M</t>
        </is>
      </c>
      <c r="L114" s="3" t="n"/>
      <c r="M114" s="3" t="n"/>
      <c r="N114" s="3" t="n"/>
      <c r="O114" s="3" t="n"/>
      <c r="P114" s="3" t="n"/>
      <c r="Q114" s="3" t="n"/>
      <c r="R114" s="3" t="inlineStr">
        <is>
          <t>Strategy &gt; Strategy: Install new structures
Installation &gt; Maximum budget per scenario (USD): 5,000,000
Installation &gt; Minimum budget per scenario (USD): 1,000,000
Installation &gt; How budgets are drawn: Uniform
Installation &gt; West lon: -87.51
Installation &gt; Min depth (m): 10
Installation &gt; Max depth (m): 30
Installation &gt; Favour cells next to existing modules: ticked
Installation &gt; Connectivity bonus: 10
Live solver / Search &gt; Number of scenarios to run: 100
Search &gt; Search algorithm: Random search
Search &gt; Random seed: 1,113</t>
        </is>
      </c>
      <c r="S114" s="3" t="inlineStr">
        <is>
          <t>A113_INST-FL-Shallow-Std-Clust-Medium.json</t>
        </is>
      </c>
      <c r="T114" s="3" t="n">
        <v>100</v>
      </c>
      <c r="U114" s="3" t="n">
        <v>1113</v>
      </c>
      <c r="V114" s="3" t="n">
        <v>207</v>
      </c>
      <c r="W114" s="3" t="n"/>
      <c r="X114" s="3">
        <f>ROUND((T114+1)*'Read me'!$C$14/60,1)</f>
        <v/>
      </c>
      <c r="Y114" s="8" t="n"/>
      <c r="Z114" s="8" t="inlineStr">
        <is>
          <t>Not started</t>
        </is>
      </c>
      <c r="AA114" s="8" t="n"/>
      <c r="AB114" s="8" t="n"/>
      <c r="AC114" s="8" t="n"/>
      <c r="AD114" s="8" t="n"/>
      <c r="AE114" s="8" t="n"/>
      <c r="AF114" s="8" t="n"/>
      <c r="AG114" s="8" t="n"/>
      <c r="AH114" s="8" t="n"/>
      <c r="AI114" s="8" t="n"/>
      <c r="AJ114" s="8">
        <f>IF(OR(AH114="",'Submission &amp; QC'!$C$18=""),"",IF(AND(ABS(AH114-'Submission &amp; QC'!$C$18)&lt;=0.0005*ABS('Submission &amp; QC'!$C$18),ABS(AI114-'Submission &amp; QC'!$C$19)&lt;=0.0005*ABS('Submission &amp; QC'!$C$19)),"Pass","Fail"))</f>
        <v/>
      </c>
      <c r="AK114" s="8" t="n"/>
      <c r="AL114" s="8" t="n"/>
    </row>
    <row r="115" ht="180" customHeight="1">
      <c r="A115" s="3" t="inlineStr">
        <is>
          <t>A114</t>
        </is>
      </c>
      <c r="B115" s="7" t="inlineStr">
        <is>
          <t>A</t>
        </is>
      </c>
      <c r="C115" s="3" t="n">
        <v>2</v>
      </c>
      <c r="D115" s="3" t="inlineStr">
        <is>
          <t>Install</t>
        </is>
      </c>
      <c r="E115" s="3" t="inlineStr">
        <is>
          <t>INST-FL-Shallow-Std-Clust-Large</t>
        </is>
      </c>
      <c r="F115" s="3" t="inlineStr">
        <is>
          <t>Install standard prefab modules, clustered, shallow (10-30 m), Florida panhandle (east of the Perdido River), large budget ($5-15 M)</t>
        </is>
      </c>
      <c r="G115" s="3" t="inlineStr">
        <is>
          <t>Florida panhandle (east of the Perdido River)</t>
        </is>
      </c>
      <c r="H115" s="3" t="inlineStr">
        <is>
          <t>Shallow (10-30 m)</t>
        </is>
      </c>
      <c r="I115" s="3" t="inlineStr">
        <is>
          <t>Standard prefab module ($2,500; 6 m2; 3 m tall)</t>
        </is>
      </c>
      <c r="J115" s="3" t="inlineStr">
        <is>
          <t>Clustered (favour cells next to existing modules)</t>
        </is>
      </c>
      <c r="K115" s="3" t="inlineStr">
        <is>
          <t>Large: $5-15 M</t>
        </is>
      </c>
      <c r="L115" s="3" t="n"/>
      <c r="M115" s="3" t="n"/>
      <c r="N115" s="3" t="n"/>
      <c r="O115" s="3" t="n"/>
      <c r="P115" s="3" t="n"/>
      <c r="Q115" s="3" t="n"/>
      <c r="R115"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10
Installation &gt; Max depth (m): 30
Installation &gt; Favour cells next to existing modules: ticked
Installation &gt; Connectivity bonus: 10
Live solver / Search &gt; Number of scenarios to run: 100
Search &gt; Search algorithm: Random search
Search &gt; Random seed: 1,114</t>
        </is>
      </c>
      <c r="S115" s="3" t="inlineStr">
        <is>
          <t>A114_INST-FL-Shallow-Std-Clust-Large.json</t>
        </is>
      </c>
      <c r="T115" s="3" t="n">
        <v>100</v>
      </c>
      <c r="U115" s="3" t="n">
        <v>1114</v>
      </c>
      <c r="V115" s="3" t="n">
        <v>207</v>
      </c>
      <c r="W115" s="3" t="n"/>
      <c r="X115" s="3">
        <f>ROUND((T115+1)*'Read me'!$C$14/60,1)</f>
        <v/>
      </c>
      <c r="Y115" s="8" t="n"/>
      <c r="Z115" s="8" t="inlineStr">
        <is>
          <t>Not started</t>
        </is>
      </c>
      <c r="AA115" s="8" t="n"/>
      <c r="AB115" s="8" t="n"/>
      <c r="AC115" s="8" t="n"/>
      <c r="AD115" s="8" t="n"/>
      <c r="AE115" s="8" t="n"/>
      <c r="AF115" s="8" t="n"/>
      <c r="AG115" s="8" t="n"/>
      <c r="AH115" s="8" t="n"/>
      <c r="AI115" s="8" t="n"/>
      <c r="AJ115" s="8">
        <f>IF(OR(AH115="",'Submission &amp; QC'!$C$18=""),"",IF(AND(ABS(AH115-'Submission &amp; QC'!$C$18)&lt;=0.0005*ABS('Submission &amp; QC'!$C$18),ABS(AI115-'Submission &amp; QC'!$C$19)&lt;=0.0005*ABS('Submission &amp; QC'!$C$19)),"Pass","Fail"))</f>
        <v/>
      </c>
      <c r="AK115" s="8" t="n"/>
      <c r="AL115" s="8" t="n"/>
    </row>
    <row r="116" ht="210" customHeight="1">
      <c r="A116" s="3" t="inlineStr">
        <is>
          <t>A115</t>
        </is>
      </c>
      <c r="B116" s="7" t="inlineStr">
        <is>
          <t>A</t>
        </is>
      </c>
      <c r="C116" s="3" t="n">
        <v>3</v>
      </c>
      <c r="D116" s="3" t="inlineStr">
        <is>
          <t>Install</t>
        </is>
      </c>
      <c r="E116" s="3" t="inlineStr">
        <is>
          <t>INST-FL-Shallow-Large-Disp-Small</t>
        </is>
      </c>
      <c r="F116" s="3" t="inlineStr">
        <is>
          <t>Install large modules, dispersed, shallow (10-30 m), Florida panhandle (east of the Perdido River), small budget ($0.1-1 M)</t>
        </is>
      </c>
      <c r="G116" s="3" t="inlineStr">
        <is>
          <t>Florida panhandle (east of the Perdido River)</t>
        </is>
      </c>
      <c r="H116" s="3" t="inlineStr">
        <is>
          <t>Shallow (10-30 m)</t>
        </is>
      </c>
      <c r="I116" s="3" t="inlineStr">
        <is>
          <t>Large module ($12,000; 20 m2; 6 m tall)</t>
        </is>
      </c>
      <c r="J116" s="3" t="inlineStr">
        <is>
          <t>Dispersed (no connectivity preference)</t>
        </is>
      </c>
      <c r="K116" s="3" t="inlineStr">
        <is>
          <t>Small: $0.1-1 M</t>
        </is>
      </c>
      <c r="L116" s="3" t="n"/>
      <c r="M116" s="3" t="n"/>
      <c r="N116" s="3" t="n"/>
      <c r="O116" s="3" t="n"/>
      <c r="P116" s="3" t="n"/>
      <c r="Q116" s="3" t="n"/>
      <c r="R116" s="3" t="inlineStr">
        <is>
          <t>Strategy &gt; Strategy: Install new structures
Installation &gt; Maximum budget per scenario (USD): 1,000,000
Installation &gt; Minimum budget per scenario (USD): 100,000
Installation &gt; How budgets are drawn: Uniform
Installation &gt; West lon: -87.51
Installation &gt; Min depth (m): 10
Installation &gt; Max depth (m): 30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1,115</t>
        </is>
      </c>
      <c r="S116" s="3" t="inlineStr">
        <is>
          <t>A115_INST-FL-Shallow-Large-Disp-Small.json</t>
        </is>
      </c>
      <c r="T116" s="3" t="n">
        <v>100</v>
      </c>
      <c r="U116" s="3" t="n">
        <v>1115</v>
      </c>
      <c r="V116" s="3" t="n">
        <v>207</v>
      </c>
      <c r="W116" s="3" t="n"/>
      <c r="X116" s="3">
        <f>ROUND((T116+1)*'Read me'!$C$14/60,1)</f>
        <v/>
      </c>
      <c r="Y116" s="8" t="n"/>
      <c r="Z116" s="8" t="inlineStr">
        <is>
          <t>Not started</t>
        </is>
      </c>
      <c r="AA116" s="8" t="n"/>
      <c r="AB116" s="8" t="n"/>
      <c r="AC116" s="8" t="n"/>
      <c r="AD116" s="8" t="n"/>
      <c r="AE116" s="8" t="n"/>
      <c r="AF116" s="8" t="n"/>
      <c r="AG116" s="8" t="n"/>
      <c r="AH116" s="8" t="n"/>
      <c r="AI116" s="8" t="n"/>
      <c r="AJ116" s="8">
        <f>IF(OR(AH116="",'Submission &amp; QC'!$C$18=""),"",IF(AND(ABS(AH116-'Submission &amp; QC'!$C$18)&lt;=0.0005*ABS('Submission &amp; QC'!$C$18),ABS(AI116-'Submission &amp; QC'!$C$19)&lt;=0.0005*ABS('Submission &amp; QC'!$C$19)),"Pass","Fail"))</f>
        <v/>
      </c>
      <c r="AK116" s="8" t="n"/>
      <c r="AL116" s="8" t="n"/>
    </row>
    <row r="117" ht="210" customHeight="1">
      <c r="A117" s="3" t="inlineStr">
        <is>
          <t>A116</t>
        </is>
      </c>
      <c r="B117" s="7" t="inlineStr">
        <is>
          <t>A</t>
        </is>
      </c>
      <c r="C117" s="3" t="n">
        <v>3</v>
      </c>
      <c r="D117" s="3" t="inlineStr">
        <is>
          <t>Install</t>
        </is>
      </c>
      <c r="E117" s="3" t="inlineStr">
        <is>
          <t>INST-FL-Shallow-Large-Disp-Medium</t>
        </is>
      </c>
      <c r="F117" s="3" t="inlineStr">
        <is>
          <t>Install large modules, dispersed, shallow (10-30 m), Florida panhandle (east of the Perdido River), medium budget ($1-5 M)</t>
        </is>
      </c>
      <c r="G117" s="3" t="inlineStr">
        <is>
          <t>Florida panhandle (east of the Perdido River)</t>
        </is>
      </c>
      <c r="H117" s="3" t="inlineStr">
        <is>
          <t>Shallow (10-30 m)</t>
        </is>
      </c>
      <c r="I117" s="3" t="inlineStr">
        <is>
          <t>Large module ($12,000; 20 m2; 6 m tall)</t>
        </is>
      </c>
      <c r="J117" s="3" t="inlineStr">
        <is>
          <t>Dispersed (no connectivity preference)</t>
        </is>
      </c>
      <c r="K117" s="3" t="inlineStr">
        <is>
          <t>Medium: $1-5 M</t>
        </is>
      </c>
      <c r="L117" s="3" t="n"/>
      <c r="M117" s="3" t="n"/>
      <c r="N117" s="3" t="n"/>
      <c r="O117" s="3" t="n"/>
      <c r="P117" s="3" t="n"/>
      <c r="Q117" s="3" t="n"/>
      <c r="R117" s="3" t="inlineStr">
        <is>
          <t>Strategy &gt; Strategy: Install new structures
Installation &gt; Maximum budget per scenario (USD): 5,000,000
Installation &gt; Minimum budget per scenario (USD): 1,000,000
Installation &gt; How budgets are drawn: Uniform
Installation &gt; West lon: -87.51
Installation &gt; Min depth (m): 10
Installation &gt; Max depth (m): 30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1,116</t>
        </is>
      </c>
      <c r="S117" s="3" t="inlineStr">
        <is>
          <t>A116_INST-FL-Shallow-Large-Disp-Medium.json</t>
        </is>
      </c>
      <c r="T117" s="3" t="n">
        <v>100</v>
      </c>
      <c r="U117" s="3" t="n">
        <v>1116</v>
      </c>
      <c r="V117" s="3" t="n">
        <v>207</v>
      </c>
      <c r="W117" s="3" t="n"/>
      <c r="X117" s="3">
        <f>ROUND((T117+1)*'Read me'!$C$14/60,1)</f>
        <v/>
      </c>
      <c r="Y117" s="8" t="n"/>
      <c r="Z117" s="8" t="inlineStr">
        <is>
          <t>Not started</t>
        </is>
      </c>
      <c r="AA117" s="8" t="n"/>
      <c r="AB117" s="8" t="n"/>
      <c r="AC117" s="8" t="n"/>
      <c r="AD117" s="8" t="n"/>
      <c r="AE117" s="8" t="n"/>
      <c r="AF117" s="8" t="n"/>
      <c r="AG117" s="8" t="n"/>
      <c r="AH117" s="8" t="n"/>
      <c r="AI117" s="8" t="n"/>
      <c r="AJ117" s="8">
        <f>IF(OR(AH117="",'Submission &amp; QC'!$C$18=""),"",IF(AND(ABS(AH117-'Submission &amp; QC'!$C$18)&lt;=0.0005*ABS('Submission &amp; QC'!$C$18),ABS(AI117-'Submission &amp; QC'!$C$19)&lt;=0.0005*ABS('Submission &amp; QC'!$C$19)),"Pass","Fail"))</f>
        <v/>
      </c>
      <c r="AK117" s="8" t="n"/>
      <c r="AL117" s="8" t="n"/>
    </row>
    <row r="118" ht="210" customHeight="1">
      <c r="A118" s="3" t="inlineStr">
        <is>
          <t>A117</t>
        </is>
      </c>
      <c r="B118" s="7" t="inlineStr">
        <is>
          <t>A</t>
        </is>
      </c>
      <c r="C118" s="3" t="n">
        <v>3</v>
      </c>
      <c r="D118" s="3" t="inlineStr">
        <is>
          <t>Install</t>
        </is>
      </c>
      <c r="E118" s="3" t="inlineStr">
        <is>
          <t>INST-FL-Shallow-Large-Disp-Large</t>
        </is>
      </c>
      <c r="F118" s="3" t="inlineStr">
        <is>
          <t>Install large modules, dispersed, shallow (10-30 m), Florida panhandle (east of the Perdido River), large budget ($5-15 M)</t>
        </is>
      </c>
      <c r="G118" s="3" t="inlineStr">
        <is>
          <t>Florida panhandle (east of the Perdido River)</t>
        </is>
      </c>
      <c r="H118" s="3" t="inlineStr">
        <is>
          <t>Shallow (10-30 m)</t>
        </is>
      </c>
      <c r="I118" s="3" t="inlineStr">
        <is>
          <t>Large module ($12,000; 20 m2; 6 m tall)</t>
        </is>
      </c>
      <c r="J118" s="3" t="inlineStr">
        <is>
          <t>Dispersed (no connectivity preference)</t>
        </is>
      </c>
      <c r="K118" s="3" t="inlineStr">
        <is>
          <t>Large: $5-15 M</t>
        </is>
      </c>
      <c r="L118" s="3" t="n"/>
      <c r="M118" s="3" t="n"/>
      <c r="N118" s="3" t="n"/>
      <c r="O118" s="3" t="n"/>
      <c r="P118" s="3" t="n"/>
      <c r="Q118" s="3" t="n"/>
      <c r="R118"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10
Installation &gt; Max depth (m): 30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1,117</t>
        </is>
      </c>
      <c r="S118" s="3" t="inlineStr">
        <is>
          <t>A117_INST-FL-Shallow-Large-Disp-Large.json</t>
        </is>
      </c>
      <c r="T118" s="3" t="n">
        <v>100</v>
      </c>
      <c r="U118" s="3" t="n">
        <v>1117</v>
      </c>
      <c r="V118" s="3" t="n">
        <v>207</v>
      </c>
      <c r="W118" s="3" t="n"/>
      <c r="X118" s="3">
        <f>ROUND((T118+1)*'Read me'!$C$14/60,1)</f>
        <v/>
      </c>
      <c r="Y118" s="8" t="n"/>
      <c r="Z118" s="8" t="inlineStr">
        <is>
          <t>Not started</t>
        </is>
      </c>
      <c r="AA118" s="8" t="n"/>
      <c r="AB118" s="8" t="n"/>
      <c r="AC118" s="8" t="n"/>
      <c r="AD118" s="8" t="n"/>
      <c r="AE118" s="8" t="n"/>
      <c r="AF118" s="8" t="n"/>
      <c r="AG118" s="8" t="n"/>
      <c r="AH118" s="8" t="n"/>
      <c r="AI118" s="8" t="n"/>
      <c r="AJ118" s="8">
        <f>IF(OR(AH118="",'Submission &amp; QC'!$C$18=""),"",IF(AND(ABS(AH118-'Submission &amp; QC'!$C$18)&lt;=0.0005*ABS('Submission &amp; QC'!$C$18),ABS(AI118-'Submission &amp; QC'!$C$19)&lt;=0.0005*ABS('Submission &amp; QC'!$C$19)),"Pass","Fail"))</f>
        <v/>
      </c>
      <c r="AK118" s="8" t="n"/>
      <c r="AL118" s="8" t="n"/>
    </row>
    <row r="119" ht="225" customHeight="1">
      <c r="A119" s="3" t="inlineStr">
        <is>
          <t>A118</t>
        </is>
      </c>
      <c r="B119" s="7" t="inlineStr">
        <is>
          <t>A</t>
        </is>
      </c>
      <c r="C119" s="3" t="n">
        <v>3</v>
      </c>
      <c r="D119" s="3" t="inlineStr">
        <is>
          <t>Install</t>
        </is>
      </c>
      <c r="E119" s="3" t="inlineStr">
        <is>
          <t>INST-FL-Shallow-Large-Clust-Small</t>
        </is>
      </c>
      <c r="F119" s="3" t="inlineStr">
        <is>
          <t>Install large modules, clustered, shallow (10-30 m), Florida panhandle (east of the Perdido River), small budget ($0.1-1 M)</t>
        </is>
      </c>
      <c r="G119" s="3" t="inlineStr">
        <is>
          <t>Florida panhandle (east of the Perdido River)</t>
        </is>
      </c>
      <c r="H119" s="3" t="inlineStr">
        <is>
          <t>Shallow (10-30 m)</t>
        </is>
      </c>
      <c r="I119" s="3" t="inlineStr">
        <is>
          <t>Large module ($12,000; 20 m2; 6 m tall)</t>
        </is>
      </c>
      <c r="J119" s="3" t="inlineStr">
        <is>
          <t>Clustered (favour cells next to existing modules)</t>
        </is>
      </c>
      <c r="K119" s="3" t="inlineStr">
        <is>
          <t>Small: $0.1-1 M</t>
        </is>
      </c>
      <c r="L119" s="3" t="n"/>
      <c r="M119" s="3" t="n"/>
      <c r="N119" s="3" t="n"/>
      <c r="O119" s="3" t="n"/>
      <c r="P119" s="3" t="n"/>
      <c r="Q119" s="3" t="n"/>
      <c r="R119" s="3" t="inlineStr">
        <is>
          <t>Strategy &gt; Strategy: Install new structures
Installation &gt; Maximum budget per scenario (USD): 1,000,000
Installation &gt; Minimum budget per scenario (USD): 100,000
Installation &gt; How budgets are drawn: Uniform
Installation &gt; West lon: -87.51
Installation &gt; Min depth (m): 10
Installation &gt; Max depth (m): 30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1,118</t>
        </is>
      </c>
      <c r="S119" s="3" t="inlineStr">
        <is>
          <t>A118_INST-FL-Shallow-Large-Clust-Small.json</t>
        </is>
      </c>
      <c r="T119" s="3" t="n">
        <v>100</v>
      </c>
      <c r="U119" s="3" t="n">
        <v>1118</v>
      </c>
      <c r="V119" s="3" t="n">
        <v>207</v>
      </c>
      <c r="W119" s="3" t="n"/>
      <c r="X119" s="3">
        <f>ROUND((T119+1)*'Read me'!$C$14/60,1)</f>
        <v/>
      </c>
      <c r="Y119" s="8" t="n"/>
      <c r="Z119" s="8" t="inlineStr">
        <is>
          <t>Not started</t>
        </is>
      </c>
      <c r="AA119" s="8" t="n"/>
      <c r="AB119" s="8" t="n"/>
      <c r="AC119" s="8" t="n"/>
      <c r="AD119" s="8" t="n"/>
      <c r="AE119" s="8" t="n"/>
      <c r="AF119" s="8" t="n"/>
      <c r="AG119" s="8" t="n"/>
      <c r="AH119" s="8" t="n"/>
      <c r="AI119" s="8" t="n"/>
      <c r="AJ119" s="8">
        <f>IF(OR(AH119="",'Submission &amp; QC'!$C$18=""),"",IF(AND(ABS(AH119-'Submission &amp; QC'!$C$18)&lt;=0.0005*ABS('Submission &amp; QC'!$C$18),ABS(AI119-'Submission &amp; QC'!$C$19)&lt;=0.0005*ABS('Submission &amp; QC'!$C$19)),"Pass","Fail"))</f>
        <v/>
      </c>
      <c r="AK119" s="8" t="n"/>
      <c r="AL119" s="8" t="n"/>
    </row>
    <row r="120" ht="225" customHeight="1">
      <c r="A120" s="3" t="inlineStr">
        <is>
          <t>A119</t>
        </is>
      </c>
      <c r="B120" s="7" t="inlineStr">
        <is>
          <t>A</t>
        </is>
      </c>
      <c r="C120" s="3" t="n">
        <v>3</v>
      </c>
      <c r="D120" s="3" t="inlineStr">
        <is>
          <t>Install</t>
        </is>
      </c>
      <c r="E120" s="3" t="inlineStr">
        <is>
          <t>INST-FL-Shallow-Large-Clust-Medium</t>
        </is>
      </c>
      <c r="F120" s="3" t="inlineStr">
        <is>
          <t>Install large modules, clustered, shallow (10-30 m), Florida panhandle (east of the Perdido River), medium budget ($1-5 M)</t>
        </is>
      </c>
      <c r="G120" s="3" t="inlineStr">
        <is>
          <t>Florida panhandle (east of the Perdido River)</t>
        </is>
      </c>
      <c r="H120" s="3" t="inlineStr">
        <is>
          <t>Shallow (10-30 m)</t>
        </is>
      </c>
      <c r="I120" s="3" t="inlineStr">
        <is>
          <t>Large module ($12,000; 20 m2; 6 m tall)</t>
        </is>
      </c>
      <c r="J120" s="3" t="inlineStr">
        <is>
          <t>Clustered (favour cells next to existing modules)</t>
        </is>
      </c>
      <c r="K120" s="3" t="inlineStr">
        <is>
          <t>Medium: $1-5 M</t>
        </is>
      </c>
      <c r="L120" s="3" t="n"/>
      <c r="M120" s="3" t="n"/>
      <c r="N120" s="3" t="n"/>
      <c r="O120" s="3" t="n"/>
      <c r="P120" s="3" t="n"/>
      <c r="Q120" s="3" t="n"/>
      <c r="R120" s="3" t="inlineStr">
        <is>
          <t>Strategy &gt; Strategy: Install new structures
Installation &gt; Maximum budget per scenario (USD): 5,000,000
Installation &gt; Minimum budget per scenario (USD): 1,000,000
Installation &gt; How budgets are drawn: Uniform
Installation &gt; West lon: -87.51
Installation &gt; Min depth (m): 10
Installation &gt; Max depth (m): 30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1,119</t>
        </is>
      </c>
      <c r="S120" s="3" t="inlineStr">
        <is>
          <t>A119_INST-FL-Shallow-Large-Clust-Medium.json</t>
        </is>
      </c>
      <c r="T120" s="3" t="n">
        <v>100</v>
      </c>
      <c r="U120" s="3" t="n">
        <v>1119</v>
      </c>
      <c r="V120" s="3" t="n">
        <v>207</v>
      </c>
      <c r="W120" s="3" t="n"/>
      <c r="X120" s="3">
        <f>ROUND((T120+1)*'Read me'!$C$14/60,1)</f>
        <v/>
      </c>
      <c r="Y120" s="8" t="n"/>
      <c r="Z120" s="8" t="inlineStr">
        <is>
          <t>Not started</t>
        </is>
      </c>
      <c r="AA120" s="8" t="n"/>
      <c r="AB120" s="8" t="n"/>
      <c r="AC120" s="8" t="n"/>
      <c r="AD120" s="8" t="n"/>
      <c r="AE120" s="8" t="n"/>
      <c r="AF120" s="8" t="n"/>
      <c r="AG120" s="8" t="n"/>
      <c r="AH120" s="8" t="n"/>
      <c r="AI120" s="8" t="n"/>
      <c r="AJ120" s="8">
        <f>IF(OR(AH120="",'Submission &amp; QC'!$C$18=""),"",IF(AND(ABS(AH120-'Submission &amp; QC'!$C$18)&lt;=0.0005*ABS('Submission &amp; QC'!$C$18),ABS(AI120-'Submission &amp; QC'!$C$19)&lt;=0.0005*ABS('Submission &amp; QC'!$C$19)),"Pass","Fail"))</f>
        <v/>
      </c>
      <c r="AK120" s="8" t="n"/>
      <c r="AL120" s="8" t="n"/>
    </row>
    <row r="121" ht="225" customHeight="1">
      <c r="A121" s="3" t="inlineStr">
        <is>
          <t>A120</t>
        </is>
      </c>
      <c r="B121" s="7" t="inlineStr">
        <is>
          <t>A</t>
        </is>
      </c>
      <c r="C121" s="3" t="n">
        <v>3</v>
      </c>
      <c r="D121" s="3" t="inlineStr">
        <is>
          <t>Install</t>
        </is>
      </c>
      <c r="E121" s="3" t="inlineStr">
        <is>
          <t>INST-FL-Shallow-Large-Clust-Large</t>
        </is>
      </c>
      <c r="F121" s="3" t="inlineStr">
        <is>
          <t>Install large modules, clustered, shallow (10-30 m), Florida panhandle (east of the Perdido River), large budget ($5-15 M)</t>
        </is>
      </c>
      <c r="G121" s="3" t="inlineStr">
        <is>
          <t>Florida panhandle (east of the Perdido River)</t>
        </is>
      </c>
      <c r="H121" s="3" t="inlineStr">
        <is>
          <t>Shallow (10-30 m)</t>
        </is>
      </c>
      <c r="I121" s="3" t="inlineStr">
        <is>
          <t>Large module ($12,000; 20 m2; 6 m tall)</t>
        </is>
      </c>
      <c r="J121" s="3" t="inlineStr">
        <is>
          <t>Clustered (favour cells next to existing modules)</t>
        </is>
      </c>
      <c r="K121" s="3" t="inlineStr">
        <is>
          <t>Large: $5-15 M</t>
        </is>
      </c>
      <c r="L121" s="3" t="n"/>
      <c r="M121" s="3" t="n"/>
      <c r="N121" s="3" t="n"/>
      <c r="O121" s="3" t="n"/>
      <c r="P121" s="3" t="n"/>
      <c r="Q121" s="3" t="n"/>
      <c r="R121"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10
Installation &gt; Max depth (m): 30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1,120</t>
        </is>
      </c>
      <c r="S121" s="3" t="inlineStr">
        <is>
          <t>A120_INST-FL-Shallow-Large-Clust-Large.json</t>
        </is>
      </c>
      <c r="T121" s="3" t="n">
        <v>100</v>
      </c>
      <c r="U121" s="3" t="n">
        <v>1120</v>
      </c>
      <c r="V121" s="3" t="n">
        <v>207</v>
      </c>
      <c r="W121" s="3" t="n"/>
      <c r="X121" s="3">
        <f>ROUND((T121+1)*'Read me'!$C$14/60,1)</f>
        <v/>
      </c>
      <c r="Y121" s="8" t="n"/>
      <c r="Z121" s="8" t="inlineStr">
        <is>
          <t>Not started</t>
        </is>
      </c>
      <c r="AA121" s="8" t="n"/>
      <c r="AB121" s="8" t="n"/>
      <c r="AC121" s="8" t="n"/>
      <c r="AD121" s="8" t="n"/>
      <c r="AE121" s="8" t="n"/>
      <c r="AF121" s="8" t="n"/>
      <c r="AG121" s="8" t="n"/>
      <c r="AH121" s="8" t="n"/>
      <c r="AI121" s="8" t="n"/>
      <c r="AJ121" s="8">
        <f>IF(OR(AH121="",'Submission &amp; QC'!$C$18=""),"",IF(AND(ABS(AH121-'Submission &amp; QC'!$C$18)&lt;=0.0005*ABS('Submission &amp; QC'!$C$18),ABS(AI121-'Submission &amp; QC'!$C$19)&lt;=0.0005*ABS('Submission &amp; QC'!$C$19)),"Pass","Fail"))</f>
        <v/>
      </c>
      <c r="AK121" s="8" t="n"/>
      <c r="AL121" s="8" t="n"/>
    </row>
    <row r="122" ht="165" customHeight="1">
      <c r="A122" s="3" t="inlineStr">
        <is>
          <t>A121</t>
        </is>
      </c>
      <c r="B122" s="7" t="inlineStr">
        <is>
          <t>A</t>
        </is>
      </c>
      <c r="C122" s="3" t="n">
        <v>2</v>
      </c>
      <c r="D122" s="3" t="inlineStr">
        <is>
          <t>Install</t>
        </is>
      </c>
      <c r="E122" s="3" t="inlineStr">
        <is>
          <t>INST-FL-Mid-Std-Disp-Small</t>
        </is>
      </c>
      <c r="F122" s="3" t="inlineStr">
        <is>
          <t>Install standard prefab modules, dispersed, mid-shelf (30-60 m), Florida panhandle (east of the Perdido River), small budget ($0.1-1 M)</t>
        </is>
      </c>
      <c r="G122" s="3" t="inlineStr">
        <is>
          <t>Florida panhandle (east of the Perdido River)</t>
        </is>
      </c>
      <c r="H122" s="3" t="inlineStr">
        <is>
          <t>Mid-shelf (30-60 m)</t>
        </is>
      </c>
      <c r="I122" s="3" t="inlineStr">
        <is>
          <t>Standard prefab module ($2,500; 6 m2; 3 m tall)</t>
        </is>
      </c>
      <c r="J122" s="3" t="inlineStr">
        <is>
          <t>Dispersed (no connectivity preference)</t>
        </is>
      </c>
      <c r="K122" s="3" t="inlineStr">
        <is>
          <t>Small: $0.1-1 M</t>
        </is>
      </c>
      <c r="L122" s="3" t="n"/>
      <c r="M122" s="3" t="n"/>
      <c r="N122" s="3" t="n"/>
      <c r="O122" s="3" t="n"/>
      <c r="P122" s="3" t="n"/>
      <c r="Q122" s="3" t="n"/>
      <c r="R122" s="3" t="inlineStr">
        <is>
          <t>Strategy &gt; Strategy: Install new structures
Installation &gt; Maximum budget per scenario (USD): 1,000,000
Installation &gt; Minimum budget per scenario (USD): 100,000
Installation &gt; How budgets are drawn: Uniform
Installation &gt; West lon: -87.51
Installation &gt; Min depth (m): 30
Installation &gt; Max depth (m): 60
Installation &gt; Favour cells next to existing modules: unticked
Live solver / Search &gt; Number of scenarios to run: 100
Search &gt; Search algorithm: Random search
Search &gt; Random seed: 1,121</t>
        </is>
      </c>
      <c r="S122" s="3" t="inlineStr">
        <is>
          <t>A121_INST-FL-Mid-Std-Disp-Small.json</t>
        </is>
      </c>
      <c r="T122" s="3" t="n">
        <v>100</v>
      </c>
      <c r="U122" s="3" t="n">
        <v>1121</v>
      </c>
      <c r="V122" s="3" t="n">
        <v>242</v>
      </c>
      <c r="W122" s="3" t="n"/>
      <c r="X122" s="3">
        <f>ROUND((T122+1)*'Read me'!$C$14/60,1)</f>
        <v/>
      </c>
      <c r="Y122" s="8" t="n"/>
      <c r="Z122" s="8" t="inlineStr">
        <is>
          <t>Not started</t>
        </is>
      </c>
      <c r="AA122" s="8" t="n"/>
      <c r="AB122" s="8" t="n"/>
      <c r="AC122" s="8" t="n"/>
      <c r="AD122" s="8" t="n"/>
      <c r="AE122" s="8" t="n"/>
      <c r="AF122" s="8" t="n"/>
      <c r="AG122" s="8" t="n"/>
      <c r="AH122" s="8" t="n"/>
      <c r="AI122" s="8" t="n"/>
      <c r="AJ122" s="8">
        <f>IF(OR(AH122="",'Submission &amp; QC'!$C$18=""),"",IF(AND(ABS(AH122-'Submission &amp; QC'!$C$18)&lt;=0.0005*ABS('Submission &amp; QC'!$C$18),ABS(AI122-'Submission &amp; QC'!$C$19)&lt;=0.0005*ABS('Submission &amp; QC'!$C$19)),"Pass","Fail"))</f>
        <v/>
      </c>
      <c r="AK122" s="8" t="n"/>
      <c r="AL122" s="8" t="n"/>
    </row>
    <row r="123" ht="165" customHeight="1">
      <c r="A123" s="3" t="inlineStr">
        <is>
          <t>A122</t>
        </is>
      </c>
      <c r="B123" s="7" t="inlineStr">
        <is>
          <t>A</t>
        </is>
      </c>
      <c r="C123" s="3" t="n">
        <v>2</v>
      </c>
      <c r="D123" s="3" t="inlineStr">
        <is>
          <t>Install</t>
        </is>
      </c>
      <c r="E123" s="3" t="inlineStr">
        <is>
          <t>INST-FL-Mid-Std-Disp-Medium</t>
        </is>
      </c>
      <c r="F123" s="3" t="inlineStr">
        <is>
          <t>Install standard prefab modules, dispersed, mid-shelf (30-60 m), Florida panhandle (east of the Perdido River), medium budget ($1-5 M)</t>
        </is>
      </c>
      <c r="G123" s="3" t="inlineStr">
        <is>
          <t>Florida panhandle (east of the Perdido River)</t>
        </is>
      </c>
      <c r="H123" s="3" t="inlineStr">
        <is>
          <t>Mid-shelf (30-60 m)</t>
        </is>
      </c>
      <c r="I123" s="3" t="inlineStr">
        <is>
          <t>Standard prefab module ($2,500; 6 m2; 3 m tall)</t>
        </is>
      </c>
      <c r="J123" s="3" t="inlineStr">
        <is>
          <t>Dispersed (no connectivity preference)</t>
        </is>
      </c>
      <c r="K123" s="3" t="inlineStr">
        <is>
          <t>Medium: $1-5 M</t>
        </is>
      </c>
      <c r="L123" s="3" t="n"/>
      <c r="M123" s="3" t="n"/>
      <c r="N123" s="3" t="n"/>
      <c r="O123" s="3" t="n"/>
      <c r="P123" s="3" t="n"/>
      <c r="Q123" s="3" t="n"/>
      <c r="R123" s="3" t="inlineStr">
        <is>
          <t>Strategy &gt; Strategy: Install new structures
Installation &gt; Maximum budget per scenario (USD): 5,000,000
Installation &gt; Minimum budget per scenario (USD): 1,000,000
Installation &gt; How budgets are drawn: Uniform
Installation &gt; West lon: -87.51
Installation &gt; Min depth (m): 30
Installation &gt; Max depth (m): 60
Installation &gt; Favour cells next to existing modules: unticked
Live solver / Search &gt; Number of scenarios to run: 100
Search &gt; Search algorithm: Random search
Search &gt; Random seed: 1,122</t>
        </is>
      </c>
      <c r="S123" s="3" t="inlineStr">
        <is>
          <t>A122_INST-FL-Mid-Std-Disp-Medium.json</t>
        </is>
      </c>
      <c r="T123" s="3" t="n">
        <v>100</v>
      </c>
      <c r="U123" s="3" t="n">
        <v>1122</v>
      </c>
      <c r="V123" s="3" t="n">
        <v>242</v>
      </c>
      <c r="W123" s="3" t="n"/>
      <c r="X123" s="3">
        <f>ROUND((T123+1)*'Read me'!$C$14/60,1)</f>
        <v/>
      </c>
      <c r="Y123" s="8" t="n"/>
      <c r="Z123" s="8" t="inlineStr">
        <is>
          <t>Not started</t>
        </is>
      </c>
      <c r="AA123" s="8" t="n"/>
      <c r="AB123" s="8" t="n"/>
      <c r="AC123" s="8" t="n"/>
      <c r="AD123" s="8" t="n"/>
      <c r="AE123" s="8" t="n"/>
      <c r="AF123" s="8" t="n"/>
      <c r="AG123" s="8" t="n"/>
      <c r="AH123" s="8" t="n"/>
      <c r="AI123" s="8" t="n"/>
      <c r="AJ123" s="8">
        <f>IF(OR(AH123="",'Submission &amp; QC'!$C$18=""),"",IF(AND(ABS(AH123-'Submission &amp; QC'!$C$18)&lt;=0.0005*ABS('Submission &amp; QC'!$C$18),ABS(AI123-'Submission &amp; QC'!$C$19)&lt;=0.0005*ABS('Submission &amp; QC'!$C$19)),"Pass","Fail"))</f>
        <v/>
      </c>
      <c r="AK123" s="8" t="n"/>
      <c r="AL123" s="8" t="n"/>
    </row>
    <row r="124" ht="165" customHeight="1">
      <c r="A124" s="3" t="inlineStr">
        <is>
          <t>A123</t>
        </is>
      </c>
      <c r="B124" s="7" t="inlineStr">
        <is>
          <t>A</t>
        </is>
      </c>
      <c r="C124" s="3" t="n">
        <v>2</v>
      </c>
      <c r="D124" s="3" t="inlineStr">
        <is>
          <t>Install</t>
        </is>
      </c>
      <c r="E124" s="3" t="inlineStr">
        <is>
          <t>INST-FL-Mid-Std-Disp-Large</t>
        </is>
      </c>
      <c r="F124" s="3" t="inlineStr">
        <is>
          <t>Install standard prefab modules, dispersed, mid-shelf (30-60 m), Florida panhandle (east of the Perdido River), large budget ($5-15 M)</t>
        </is>
      </c>
      <c r="G124" s="3" t="inlineStr">
        <is>
          <t>Florida panhandle (east of the Perdido River)</t>
        </is>
      </c>
      <c r="H124" s="3" t="inlineStr">
        <is>
          <t>Mid-shelf (30-60 m)</t>
        </is>
      </c>
      <c r="I124" s="3" t="inlineStr">
        <is>
          <t>Standard prefab module ($2,500; 6 m2; 3 m tall)</t>
        </is>
      </c>
      <c r="J124" s="3" t="inlineStr">
        <is>
          <t>Dispersed (no connectivity preference)</t>
        </is>
      </c>
      <c r="K124" s="3" t="inlineStr">
        <is>
          <t>Large: $5-15 M</t>
        </is>
      </c>
      <c r="L124" s="3" t="n"/>
      <c r="M124" s="3" t="n"/>
      <c r="N124" s="3" t="n"/>
      <c r="O124" s="3" t="n"/>
      <c r="P124" s="3" t="n"/>
      <c r="Q124" s="3" t="n"/>
      <c r="R124"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30
Installation &gt; Max depth (m): 60
Installation &gt; Favour cells next to existing modules: unticked
Live solver / Search &gt; Number of scenarios to run: 100
Search &gt; Search algorithm: Random search
Search &gt; Random seed: 1,123</t>
        </is>
      </c>
      <c r="S124" s="3" t="inlineStr">
        <is>
          <t>A123_INST-FL-Mid-Std-Disp-Large.json</t>
        </is>
      </c>
      <c r="T124" s="3" t="n">
        <v>100</v>
      </c>
      <c r="U124" s="3" t="n">
        <v>1123</v>
      </c>
      <c r="V124" s="3" t="n">
        <v>242</v>
      </c>
      <c r="W124" s="3" t="n"/>
      <c r="X124" s="3">
        <f>ROUND((T124+1)*'Read me'!$C$14/60,1)</f>
        <v/>
      </c>
      <c r="Y124" s="8" t="n"/>
      <c r="Z124" s="8" t="inlineStr">
        <is>
          <t>Not started</t>
        </is>
      </c>
      <c r="AA124" s="8" t="n"/>
      <c r="AB124" s="8" t="n"/>
      <c r="AC124" s="8" t="n"/>
      <c r="AD124" s="8" t="n"/>
      <c r="AE124" s="8" t="n"/>
      <c r="AF124" s="8" t="n"/>
      <c r="AG124" s="8" t="n"/>
      <c r="AH124" s="8" t="n"/>
      <c r="AI124" s="8" t="n"/>
      <c r="AJ124" s="8">
        <f>IF(OR(AH124="",'Submission &amp; QC'!$C$18=""),"",IF(AND(ABS(AH124-'Submission &amp; QC'!$C$18)&lt;=0.0005*ABS('Submission &amp; QC'!$C$18),ABS(AI124-'Submission &amp; QC'!$C$19)&lt;=0.0005*ABS('Submission &amp; QC'!$C$19)),"Pass","Fail"))</f>
        <v/>
      </c>
      <c r="AK124" s="8" t="n"/>
      <c r="AL124" s="8" t="n"/>
    </row>
    <row r="125" ht="180" customHeight="1">
      <c r="A125" s="3" t="inlineStr">
        <is>
          <t>A124</t>
        </is>
      </c>
      <c r="B125" s="7" t="inlineStr">
        <is>
          <t>A</t>
        </is>
      </c>
      <c r="C125" s="3" t="n">
        <v>2</v>
      </c>
      <c r="D125" s="3" t="inlineStr">
        <is>
          <t>Install</t>
        </is>
      </c>
      <c r="E125" s="3" t="inlineStr">
        <is>
          <t>INST-FL-Mid-Std-Clust-Small</t>
        </is>
      </c>
      <c r="F125" s="3" t="inlineStr">
        <is>
          <t>Install standard prefab modules, clustered, mid-shelf (30-60 m), Florida panhandle (east of the Perdido River), small budget ($0.1-1 M)</t>
        </is>
      </c>
      <c r="G125" s="3" t="inlineStr">
        <is>
          <t>Florida panhandle (east of the Perdido River)</t>
        </is>
      </c>
      <c r="H125" s="3" t="inlineStr">
        <is>
          <t>Mid-shelf (30-60 m)</t>
        </is>
      </c>
      <c r="I125" s="3" t="inlineStr">
        <is>
          <t>Standard prefab module ($2,500; 6 m2; 3 m tall)</t>
        </is>
      </c>
      <c r="J125" s="3" t="inlineStr">
        <is>
          <t>Clustered (favour cells next to existing modules)</t>
        </is>
      </c>
      <c r="K125" s="3" t="inlineStr">
        <is>
          <t>Small: $0.1-1 M</t>
        </is>
      </c>
      <c r="L125" s="3" t="n"/>
      <c r="M125" s="3" t="n"/>
      <c r="N125" s="3" t="n"/>
      <c r="O125" s="3" t="n"/>
      <c r="P125" s="3" t="n"/>
      <c r="Q125" s="3" t="n"/>
      <c r="R125" s="3" t="inlineStr">
        <is>
          <t>Strategy &gt; Strategy: Install new structures
Installation &gt; Maximum budget per scenario (USD): 1,000,000
Installation &gt; Minimum budget per scenario (USD): 100,000
Installation &gt; How budgets are drawn: Uniform
Installation &gt; West lon: -87.51
Installation &gt; Min depth (m): 30
Installation &gt; Max depth (m): 60
Installation &gt; Favour cells next to existing modules: ticked
Installation &gt; Connectivity bonus: 10
Live solver / Search &gt; Number of scenarios to run: 100
Search &gt; Search algorithm: Random search
Search &gt; Random seed: 1,124</t>
        </is>
      </c>
      <c r="S125" s="3" t="inlineStr">
        <is>
          <t>A124_INST-FL-Mid-Std-Clust-Small.json</t>
        </is>
      </c>
      <c r="T125" s="3" t="n">
        <v>100</v>
      </c>
      <c r="U125" s="3" t="n">
        <v>1124</v>
      </c>
      <c r="V125" s="3" t="n">
        <v>242</v>
      </c>
      <c r="W125" s="3" t="n"/>
      <c r="X125" s="3">
        <f>ROUND((T125+1)*'Read me'!$C$14/60,1)</f>
        <v/>
      </c>
      <c r="Y125" s="8" t="n"/>
      <c r="Z125" s="8" t="inlineStr">
        <is>
          <t>Not started</t>
        </is>
      </c>
      <c r="AA125" s="8" t="n"/>
      <c r="AB125" s="8" t="n"/>
      <c r="AC125" s="8" t="n"/>
      <c r="AD125" s="8" t="n"/>
      <c r="AE125" s="8" t="n"/>
      <c r="AF125" s="8" t="n"/>
      <c r="AG125" s="8" t="n"/>
      <c r="AH125" s="8" t="n"/>
      <c r="AI125" s="8" t="n"/>
      <c r="AJ125" s="8">
        <f>IF(OR(AH125="",'Submission &amp; QC'!$C$18=""),"",IF(AND(ABS(AH125-'Submission &amp; QC'!$C$18)&lt;=0.0005*ABS('Submission &amp; QC'!$C$18),ABS(AI125-'Submission &amp; QC'!$C$19)&lt;=0.0005*ABS('Submission &amp; QC'!$C$19)),"Pass","Fail"))</f>
        <v/>
      </c>
      <c r="AK125" s="8" t="n"/>
      <c r="AL125" s="8" t="n"/>
    </row>
    <row r="126" ht="180" customHeight="1">
      <c r="A126" s="3" t="inlineStr">
        <is>
          <t>A125</t>
        </is>
      </c>
      <c r="B126" s="7" t="inlineStr">
        <is>
          <t>A</t>
        </is>
      </c>
      <c r="C126" s="3" t="n">
        <v>2</v>
      </c>
      <c r="D126" s="3" t="inlineStr">
        <is>
          <t>Install</t>
        </is>
      </c>
      <c r="E126" s="3" t="inlineStr">
        <is>
          <t>INST-FL-Mid-Std-Clust-Medium</t>
        </is>
      </c>
      <c r="F126" s="3" t="inlineStr">
        <is>
          <t>Install standard prefab modules, clustered, mid-shelf (30-60 m), Florida panhandle (east of the Perdido River), medium budget ($1-5 M)</t>
        </is>
      </c>
      <c r="G126" s="3" t="inlineStr">
        <is>
          <t>Florida panhandle (east of the Perdido River)</t>
        </is>
      </c>
      <c r="H126" s="3" t="inlineStr">
        <is>
          <t>Mid-shelf (30-60 m)</t>
        </is>
      </c>
      <c r="I126" s="3" t="inlineStr">
        <is>
          <t>Standard prefab module ($2,500; 6 m2; 3 m tall)</t>
        </is>
      </c>
      <c r="J126" s="3" t="inlineStr">
        <is>
          <t>Clustered (favour cells next to existing modules)</t>
        </is>
      </c>
      <c r="K126" s="3" t="inlineStr">
        <is>
          <t>Medium: $1-5 M</t>
        </is>
      </c>
      <c r="L126" s="3" t="n"/>
      <c r="M126" s="3" t="n"/>
      <c r="N126" s="3" t="n"/>
      <c r="O126" s="3" t="n"/>
      <c r="P126" s="3" t="n"/>
      <c r="Q126" s="3" t="n"/>
      <c r="R126" s="3" t="inlineStr">
        <is>
          <t>Strategy &gt; Strategy: Install new structures
Installation &gt; Maximum budget per scenario (USD): 5,000,000
Installation &gt; Minimum budget per scenario (USD): 1,000,000
Installation &gt; How budgets are drawn: Uniform
Installation &gt; West lon: -87.51
Installation &gt; Min depth (m): 30
Installation &gt; Max depth (m): 60
Installation &gt; Favour cells next to existing modules: ticked
Installation &gt; Connectivity bonus: 10
Live solver / Search &gt; Number of scenarios to run: 100
Search &gt; Search algorithm: Random search
Search &gt; Random seed: 1,125</t>
        </is>
      </c>
      <c r="S126" s="3" t="inlineStr">
        <is>
          <t>A125_INST-FL-Mid-Std-Clust-Medium.json</t>
        </is>
      </c>
      <c r="T126" s="3" t="n">
        <v>100</v>
      </c>
      <c r="U126" s="3" t="n">
        <v>1125</v>
      </c>
      <c r="V126" s="3" t="n">
        <v>242</v>
      </c>
      <c r="W126" s="3" t="n"/>
      <c r="X126" s="3">
        <f>ROUND((T126+1)*'Read me'!$C$14/60,1)</f>
        <v/>
      </c>
      <c r="Y126" s="8" t="n"/>
      <c r="Z126" s="8" t="inlineStr">
        <is>
          <t>Not started</t>
        </is>
      </c>
      <c r="AA126" s="8" t="n"/>
      <c r="AB126" s="8" t="n"/>
      <c r="AC126" s="8" t="n"/>
      <c r="AD126" s="8" t="n"/>
      <c r="AE126" s="8" t="n"/>
      <c r="AF126" s="8" t="n"/>
      <c r="AG126" s="8" t="n"/>
      <c r="AH126" s="8" t="n"/>
      <c r="AI126" s="8" t="n"/>
      <c r="AJ126" s="8">
        <f>IF(OR(AH126="",'Submission &amp; QC'!$C$18=""),"",IF(AND(ABS(AH126-'Submission &amp; QC'!$C$18)&lt;=0.0005*ABS('Submission &amp; QC'!$C$18),ABS(AI126-'Submission &amp; QC'!$C$19)&lt;=0.0005*ABS('Submission &amp; QC'!$C$19)),"Pass","Fail"))</f>
        <v/>
      </c>
      <c r="AK126" s="8" t="n"/>
      <c r="AL126" s="8" t="n"/>
    </row>
    <row r="127" ht="180" customHeight="1">
      <c r="A127" s="3" t="inlineStr">
        <is>
          <t>A126</t>
        </is>
      </c>
      <c r="B127" s="7" t="inlineStr">
        <is>
          <t>A</t>
        </is>
      </c>
      <c r="C127" s="3" t="n">
        <v>2</v>
      </c>
      <c r="D127" s="3" t="inlineStr">
        <is>
          <t>Install</t>
        </is>
      </c>
      <c r="E127" s="3" t="inlineStr">
        <is>
          <t>INST-FL-Mid-Std-Clust-Large</t>
        </is>
      </c>
      <c r="F127" s="3" t="inlineStr">
        <is>
          <t>Install standard prefab modules, clustered, mid-shelf (30-60 m), Florida panhandle (east of the Perdido River), large budget ($5-15 M)</t>
        </is>
      </c>
      <c r="G127" s="3" t="inlineStr">
        <is>
          <t>Florida panhandle (east of the Perdido River)</t>
        </is>
      </c>
      <c r="H127" s="3" t="inlineStr">
        <is>
          <t>Mid-shelf (30-60 m)</t>
        </is>
      </c>
      <c r="I127" s="3" t="inlineStr">
        <is>
          <t>Standard prefab module ($2,500; 6 m2; 3 m tall)</t>
        </is>
      </c>
      <c r="J127" s="3" t="inlineStr">
        <is>
          <t>Clustered (favour cells next to existing modules)</t>
        </is>
      </c>
      <c r="K127" s="3" t="inlineStr">
        <is>
          <t>Large: $5-15 M</t>
        </is>
      </c>
      <c r="L127" s="3" t="n"/>
      <c r="M127" s="3" t="n"/>
      <c r="N127" s="3" t="n"/>
      <c r="O127" s="3" t="n"/>
      <c r="P127" s="3" t="n"/>
      <c r="Q127" s="3" t="n"/>
      <c r="R127"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30
Installation &gt; Max depth (m): 60
Installation &gt; Favour cells next to existing modules: ticked
Installation &gt; Connectivity bonus: 10
Live solver / Search &gt; Number of scenarios to run: 100
Search &gt; Search algorithm: Random search
Search &gt; Random seed: 1,126</t>
        </is>
      </c>
      <c r="S127" s="3" t="inlineStr">
        <is>
          <t>A126_INST-FL-Mid-Std-Clust-Large.json</t>
        </is>
      </c>
      <c r="T127" s="3" t="n">
        <v>100</v>
      </c>
      <c r="U127" s="3" t="n">
        <v>1126</v>
      </c>
      <c r="V127" s="3" t="n">
        <v>242</v>
      </c>
      <c r="W127" s="3" t="n"/>
      <c r="X127" s="3">
        <f>ROUND((T127+1)*'Read me'!$C$14/60,1)</f>
        <v/>
      </c>
      <c r="Y127" s="8" t="n"/>
      <c r="Z127" s="8" t="inlineStr">
        <is>
          <t>Not started</t>
        </is>
      </c>
      <c r="AA127" s="8" t="n"/>
      <c r="AB127" s="8" t="n"/>
      <c r="AC127" s="8" t="n"/>
      <c r="AD127" s="8" t="n"/>
      <c r="AE127" s="8" t="n"/>
      <c r="AF127" s="8" t="n"/>
      <c r="AG127" s="8" t="n"/>
      <c r="AH127" s="8" t="n"/>
      <c r="AI127" s="8" t="n"/>
      <c r="AJ127" s="8">
        <f>IF(OR(AH127="",'Submission &amp; QC'!$C$18=""),"",IF(AND(ABS(AH127-'Submission &amp; QC'!$C$18)&lt;=0.0005*ABS('Submission &amp; QC'!$C$18),ABS(AI127-'Submission &amp; QC'!$C$19)&lt;=0.0005*ABS('Submission &amp; QC'!$C$19)),"Pass","Fail"))</f>
        <v/>
      </c>
      <c r="AK127" s="8" t="n"/>
      <c r="AL127" s="8" t="n"/>
    </row>
    <row r="128" ht="210" customHeight="1">
      <c r="A128" s="3" t="inlineStr">
        <is>
          <t>A127</t>
        </is>
      </c>
      <c r="B128" s="7" t="inlineStr">
        <is>
          <t>A</t>
        </is>
      </c>
      <c r="C128" s="3" t="n">
        <v>3</v>
      </c>
      <c r="D128" s="3" t="inlineStr">
        <is>
          <t>Install</t>
        </is>
      </c>
      <c r="E128" s="3" t="inlineStr">
        <is>
          <t>INST-FL-Mid-Large-Disp-Small</t>
        </is>
      </c>
      <c r="F128" s="3" t="inlineStr">
        <is>
          <t>Install large modules, dispersed, mid-shelf (30-60 m), Florida panhandle (east of the Perdido River), small budget ($0.1-1 M)</t>
        </is>
      </c>
      <c r="G128" s="3" t="inlineStr">
        <is>
          <t>Florida panhandle (east of the Perdido River)</t>
        </is>
      </c>
      <c r="H128" s="3" t="inlineStr">
        <is>
          <t>Mid-shelf (30-60 m)</t>
        </is>
      </c>
      <c r="I128" s="3" t="inlineStr">
        <is>
          <t>Large module ($12,000; 20 m2; 6 m tall)</t>
        </is>
      </c>
      <c r="J128" s="3" t="inlineStr">
        <is>
          <t>Dispersed (no connectivity preference)</t>
        </is>
      </c>
      <c r="K128" s="3" t="inlineStr">
        <is>
          <t>Small: $0.1-1 M</t>
        </is>
      </c>
      <c r="L128" s="3" t="n"/>
      <c r="M128" s="3" t="n"/>
      <c r="N128" s="3" t="n"/>
      <c r="O128" s="3" t="n"/>
      <c r="P128" s="3" t="n"/>
      <c r="Q128" s="3" t="n"/>
      <c r="R128" s="3" t="inlineStr">
        <is>
          <t>Strategy &gt; Strategy: Install new structures
Installation &gt; Maximum budget per scenario (USD): 1,000,000
Installation &gt; Minimum budget per scenario (USD): 100,000
Installation &gt; How budgets are drawn: Uniform
Installation &gt; West lon: -87.51
Installation &gt; Min depth (m): 30
Installation &gt; Max depth (m): 60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1,127</t>
        </is>
      </c>
      <c r="S128" s="3" t="inlineStr">
        <is>
          <t>A127_INST-FL-Mid-Large-Disp-Small.json</t>
        </is>
      </c>
      <c r="T128" s="3" t="n">
        <v>100</v>
      </c>
      <c r="U128" s="3" t="n">
        <v>1127</v>
      </c>
      <c r="V128" s="3" t="n">
        <v>242</v>
      </c>
      <c r="W128" s="3" t="n"/>
      <c r="X128" s="3">
        <f>ROUND((T128+1)*'Read me'!$C$14/60,1)</f>
        <v/>
      </c>
      <c r="Y128" s="8" t="n"/>
      <c r="Z128" s="8" t="inlineStr">
        <is>
          <t>Not started</t>
        </is>
      </c>
      <c r="AA128" s="8" t="n"/>
      <c r="AB128" s="8" t="n"/>
      <c r="AC128" s="8" t="n"/>
      <c r="AD128" s="8" t="n"/>
      <c r="AE128" s="8" t="n"/>
      <c r="AF128" s="8" t="n"/>
      <c r="AG128" s="8" t="n"/>
      <c r="AH128" s="8" t="n"/>
      <c r="AI128" s="8" t="n"/>
      <c r="AJ128" s="8">
        <f>IF(OR(AH128="",'Submission &amp; QC'!$C$18=""),"",IF(AND(ABS(AH128-'Submission &amp; QC'!$C$18)&lt;=0.0005*ABS('Submission &amp; QC'!$C$18),ABS(AI128-'Submission &amp; QC'!$C$19)&lt;=0.0005*ABS('Submission &amp; QC'!$C$19)),"Pass","Fail"))</f>
        <v/>
      </c>
      <c r="AK128" s="8" t="n"/>
      <c r="AL128" s="8" t="n"/>
    </row>
    <row r="129" ht="210" customHeight="1">
      <c r="A129" s="3" t="inlineStr">
        <is>
          <t>A128</t>
        </is>
      </c>
      <c r="B129" s="7" t="inlineStr">
        <is>
          <t>A</t>
        </is>
      </c>
      <c r="C129" s="3" t="n">
        <v>3</v>
      </c>
      <c r="D129" s="3" t="inlineStr">
        <is>
          <t>Install</t>
        </is>
      </c>
      <c r="E129" s="3" t="inlineStr">
        <is>
          <t>INST-FL-Mid-Large-Disp-Medium</t>
        </is>
      </c>
      <c r="F129" s="3" t="inlineStr">
        <is>
          <t>Install large modules, dispersed, mid-shelf (30-60 m), Florida panhandle (east of the Perdido River), medium budget ($1-5 M)</t>
        </is>
      </c>
      <c r="G129" s="3" t="inlineStr">
        <is>
          <t>Florida panhandle (east of the Perdido River)</t>
        </is>
      </c>
      <c r="H129" s="3" t="inlineStr">
        <is>
          <t>Mid-shelf (30-60 m)</t>
        </is>
      </c>
      <c r="I129" s="3" t="inlineStr">
        <is>
          <t>Large module ($12,000; 20 m2; 6 m tall)</t>
        </is>
      </c>
      <c r="J129" s="3" t="inlineStr">
        <is>
          <t>Dispersed (no connectivity preference)</t>
        </is>
      </c>
      <c r="K129" s="3" t="inlineStr">
        <is>
          <t>Medium: $1-5 M</t>
        </is>
      </c>
      <c r="L129" s="3" t="n"/>
      <c r="M129" s="3" t="n"/>
      <c r="N129" s="3" t="n"/>
      <c r="O129" s="3" t="n"/>
      <c r="P129" s="3" t="n"/>
      <c r="Q129" s="3" t="n"/>
      <c r="R129" s="3" t="inlineStr">
        <is>
          <t>Strategy &gt; Strategy: Install new structures
Installation &gt; Maximum budget per scenario (USD): 5,000,000
Installation &gt; Minimum budget per scenario (USD): 1,000,000
Installation &gt; How budgets are drawn: Uniform
Installation &gt; West lon: -87.51
Installation &gt; Min depth (m): 30
Installation &gt; Max depth (m): 60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1,128</t>
        </is>
      </c>
      <c r="S129" s="3" t="inlineStr">
        <is>
          <t>A128_INST-FL-Mid-Large-Disp-Medium.json</t>
        </is>
      </c>
      <c r="T129" s="3" t="n">
        <v>100</v>
      </c>
      <c r="U129" s="3" t="n">
        <v>1128</v>
      </c>
      <c r="V129" s="3" t="n">
        <v>242</v>
      </c>
      <c r="W129" s="3" t="n"/>
      <c r="X129" s="3">
        <f>ROUND((T129+1)*'Read me'!$C$14/60,1)</f>
        <v/>
      </c>
      <c r="Y129" s="8" t="n"/>
      <c r="Z129" s="8" t="inlineStr">
        <is>
          <t>Not started</t>
        </is>
      </c>
      <c r="AA129" s="8" t="n"/>
      <c r="AB129" s="8" t="n"/>
      <c r="AC129" s="8" t="n"/>
      <c r="AD129" s="8" t="n"/>
      <c r="AE129" s="8" t="n"/>
      <c r="AF129" s="8" t="n"/>
      <c r="AG129" s="8" t="n"/>
      <c r="AH129" s="8" t="n"/>
      <c r="AI129" s="8" t="n"/>
      <c r="AJ129" s="8">
        <f>IF(OR(AH129="",'Submission &amp; QC'!$C$18=""),"",IF(AND(ABS(AH129-'Submission &amp; QC'!$C$18)&lt;=0.0005*ABS('Submission &amp; QC'!$C$18),ABS(AI129-'Submission &amp; QC'!$C$19)&lt;=0.0005*ABS('Submission &amp; QC'!$C$19)),"Pass","Fail"))</f>
        <v/>
      </c>
      <c r="AK129" s="8" t="n"/>
      <c r="AL129" s="8" t="n"/>
    </row>
    <row r="130" ht="210" customHeight="1">
      <c r="A130" s="3" t="inlineStr">
        <is>
          <t>A129</t>
        </is>
      </c>
      <c r="B130" s="7" t="inlineStr">
        <is>
          <t>A</t>
        </is>
      </c>
      <c r="C130" s="3" t="n">
        <v>3</v>
      </c>
      <c r="D130" s="3" t="inlineStr">
        <is>
          <t>Install</t>
        </is>
      </c>
      <c r="E130" s="3" t="inlineStr">
        <is>
          <t>INST-FL-Mid-Large-Disp-Large</t>
        </is>
      </c>
      <c r="F130" s="3" t="inlineStr">
        <is>
          <t>Install large modules, dispersed, mid-shelf (30-60 m), Florida panhandle (east of the Perdido River), large budget ($5-15 M)</t>
        </is>
      </c>
      <c r="G130" s="3" t="inlineStr">
        <is>
          <t>Florida panhandle (east of the Perdido River)</t>
        </is>
      </c>
      <c r="H130" s="3" t="inlineStr">
        <is>
          <t>Mid-shelf (30-60 m)</t>
        </is>
      </c>
      <c r="I130" s="3" t="inlineStr">
        <is>
          <t>Large module ($12,000; 20 m2; 6 m tall)</t>
        </is>
      </c>
      <c r="J130" s="3" t="inlineStr">
        <is>
          <t>Dispersed (no connectivity preference)</t>
        </is>
      </c>
      <c r="K130" s="3" t="inlineStr">
        <is>
          <t>Large: $5-15 M</t>
        </is>
      </c>
      <c r="L130" s="3" t="n"/>
      <c r="M130" s="3" t="n"/>
      <c r="N130" s="3" t="n"/>
      <c r="O130" s="3" t="n"/>
      <c r="P130" s="3" t="n"/>
      <c r="Q130" s="3" t="n"/>
      <c r="R130"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30
Installation &gt; Max depth (m): 60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1,129</t>
        </is>
      </c>
      <c r="S130" s="3" t="inlineStr">
        <is>
          <t>A129_INST-FL-Mid-Large-Disp-Large.json</t>
        </is>
      </c>
      <c r="T130" s="3" t="n">
        <v>100</v>
      </c>
      <c r="U130" s="3" t="n">
        <v>1129</v>
      </c>
      <c r="V130" s="3" t="n">
        <v>242</v>
      </c>
      <c r="W130" s="3" t="n"/>
      <c r="X130" s="3">
        <f>ROUND((T130+1)*'Read me'!$C$14/60,1)</f>
        <v/>
      </c>
      <c r="Y130" s="8" t="n"/>
      <c r="Z130" s="8" t="inlineStr">
        <is>
          <t>Not started</t>
        </is>
      </c>
      <c r="AA130" s="8" t="n"/>
      <c r="AB130" s="8" t="n"/>
      <c r="AC130" s="8" t="n"/>
      <c r="AD130" s="8" t="n"/>
      <c r="AE130" s="8" t="n"/>
      <c r="AF130" s="8" t="n"/>
      <c r="AG130" s="8" t="n"/>
      <c r="AH130" s="8" t="n"/>
      <c r="AI130" s="8" t="n"/>
      <c r="AJ130" s="8">
        <f>IF(OR(AH130="",'Submission &amp; QC'!$C$18=""),"",IF(AND(ABS(AH130-'Submission &amp; QC'!$C$18)&lt;=0.0005*ABS('Submission &amp; QC'!$C$18),ABS(AI130-'Submission &amp; QC'!$C$19)&lt;=0.0005*ABS('Submission &amp; QC'!$C$19)),"Pass","Fail"))</f>
        <v/>
      </c>
      <c r="AK130" s="8" t="n"/>
      <c r="AL130" s="8" t="n"/>
    </row>
    <row r="131" ht="225" customHeight="1">
      <c r="A131" s="3" t="inlineStr">
        <is>
          <t>A130</t>
        </is>
      </c>
      <c r="B131" s="7" t="inlineStr">
        <is>
          <t>A</t>
        </is>
      </c>
      <c r="C131" s="3" t="n">
        <v>3</v>
      </c>
      <c r="D131" s="3" t="inlineStr">
        <is>
          <t>Install</t>
        </is>
      </c>
      <c r="E131" s="3" t="inlineStr">
        <is>
          <t>INST-FL-Mid-Large-Clust-Small</t>
        </is>
      </c>
      <c r="F131" s="3" t="inlineStr">
        <is>
          <t>Install large modules, clustered, mid-shelf (30-60 m), Florida panhandle (east of the Perdido River), small budget ($0.1-1 M)</t>
        </is>
      </c>
      <c r="G131" s="3" t="inlineStr">
        <is>
          <t>Florida panhandle (east of the Perdido River)</t>
        </is>
      </c>
      <c r="H131" s="3" t="inlineStr">
        <is>
          <t>Mid-shelf (30-60 m)</t>
        </is>
      </c>
      <c r="I131" s="3" t="inlineStr">
        <is>
          <t>Large module ($12,000; 20 m2; 6 m tall)</t>
        </is>
      </c>
      <c r="J131" s="3" t="inlineStr">
        <is>
          <t>Clustered (favour cells next to existing modules)</t>
        </is>
      </c>
      <c r="K131" s="3" t="inlineStr">
        <is>
          <t>Small: $0.1-1 M</t>
        </is>
      </c>
      <c r="L131" s="3" t="n"/>
      <c r="M131" s="3" t="n"/>
      <c r="N131" s="3" t="n"/>
      <c r="O131" s="3" t="n"/>
      <c r="P131" s="3" t="n"/>
      <c r="Q131" s="3" t="n"/>
      <c r="R131" s="3" t="inlineStr">
        <is>
          <t>Strategy &gt; Strategy: Install new structures
Installation &gt; Maximum budget per scenario (USD): 1,000,000
Installation &gt; Minimum budget per scenario (USD): 100,000
Installation &gt; How budgets are drawn: Uniform
Installation &gt; West lon: -87.51
Installation &gt; Min depth (m): 30
Installation &gt; Max depth (m): 60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1,130</t>
        </is>
      </c>
      <c r="S131" s="3" t="inlineStr">
        <is>
          <t>A130_INST-FL-Mid-Large-Clust-Small.json</t>
        </is>
      </c>
      <c r="T131" s="3" t="n">
        <v>100</v>
      </c>
      <c r="U131" s="3" t="n">
        <v>1130</v>
      </c>
      <c r="V131" s="3" t="n">
        <v>242</v>
      </c>
      <c r="W131" s="3" t="n"/>
      <c r="X131" s="3">
        <f>ROUND((T131+1)*'Read me'!$C$14/60,1)</f>
        <v/>
      </c>
      <c r="Y131" s="8" t="n"/>
      <c r="Z131" s="8" t="inlineStr">
        <is>
          <t>Not started</t>
        </is>
      </c>
      <c r="AA131" s="8" t="n"/>
      <c r="AB131" s="8" t="n"/>
      <c r="AC131" s="8" t="n"/>
      <c r="AD131" s="8" t="n"/>
      <c r="AE131" s="8" t="n"/>
      <c r="AF131" s="8" t="n"/>
      <c r="AG131" s="8" t="n"/>
      <c r="AH131" s="8" t="n"/>
      <c r="AI131" s="8" t="n"/>
      <c r="AJ131" s="8">
        <f>IF(OR(AH131="",'Submission &amp; QC'!$C$18=""),"",IF(AND(ABS(AH131-'Submission &amp; QC'!$C$18)&lt;=0.0005*ABS('Submission &amp; QC'!$C$18),ABS(AI131-'Submission &amp; QC'!$C$19)&lt;=0.0005*ABS('Submission &amp; QC'!$C$19)),"Pass","Fail"))</f>
        <v/>
      </c>
      <c r="AK131" s="8" t="n"/>
      <c r="AL131" s="8" t="n"/>
    </row>
    <row r="132" ht="225" customHeight="1">
      <c r="A132" s="3" t="inlineStr">
        <is>
          <t>A131</t>
        </is>
      </c>
      <c r="B132" s="7" t="inlineStr">
        <is>
          <t>A</t>
        </is>
      </c>
      <c r="C132" s="3" t="n">
        <v>3</v>
      </c>
      <c r="D132" s="3" t="inlineStr">
        <is>
          <t>Install</t>
        </is>
      </c>
      <c r="E132" s="3" t="inlineStr">
        <is>
          <t>INST-FL-Mid-Large-Clust-Medium</t>
        </is>
      </c>
      <c r="F132" s="3" t="inlineStr">
        <is>
          <t>Install large modules, clustered, mid-shelf (30-60 m), Florida panhandle (east of the Perdido River), medium budget ($1-5 M)</t>
        </is>
      </c>
      <c r="G132" s="3" t="inlineStr">
        <is>
          <t>Florida panhandle (east of the Perdido River)</t>
        </is>
      </c>
      <c r="H132" s="3" t="inlineStr">
        <is>
          <t>Mid-shelf (30-60 m)</t>
        </is>
      </c>
      <c r="I132" s="3" t="inlineStr">
        <is>
          <t>Large module ($12,000; 20 m2; 6 m tall)</t>
        </is>
      </c>
      <c r="J132" s="3" t="inlineStr">
        <is>
          <t>Clustered (favour cells next to existing modules)</t>
        </is>
      </c>
      <c r="K132" s="3" t="inlineStr">
        <is>
          <t>Medium: $1-5 M</t>
        </is>
      </c>
      <c r="L132" s="3" t="n"/>
      <c r="M132" s="3" t="n"/>
      <c r="N132" s="3" t="n"/>
      <c r="O132" s="3" t="n"/>
      <c r="P132" s="3" t="n"/>
      <c r="Q132" s="3" t="n"/>
      <c r="R132" s="3" t="inlineStr">
        <is>
          <t>Strategy &gt; Strategy: Install new structures
Installation &gt; Maximum budget per scenario (USD): 5,000,000
Installation &gt; Minimum budget per scenario (USD): 1,000,000
Installation &gt; How budgets are drawn: Uniform
Installation &gt; West lon: -87.51
Installation &gt; Min depth (m): 30
Installation &gt; Max depth (m): 60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1,131</t>
        </is>
      </c>
      <c r="S132" s="3" t="inlineStr">
        <is>
          <t>A131_INST-FL-Mid-Large-Clust-Medium.json</t>
        </is>
      </c>
      <c r="T132" s="3" t="n">
        <v>100</v>
      </c>
      <c r="U132" s="3" t="n">
        <v>1131</v>
      </c>
      <c r="V132" s="3" t="n">
        <v>242</v>
      </c>
      <c r="W132" s="3" t="n"/>
      <c r="X132" s="3">
        <f>ROUND((T132+1)*'Read me'!$C$14/60,1)</f>
        <v/>
      </c>
      <c r="Y132" s="8" t="n"/>
      <c r="Z132" s="8" t="inlineStr">
        <is>
          <t>Not started</t>
        </is>
      </c>
      <c r="AA132" s="8" t="n"/>
      <c r="AB132" s="8" t="n"/>
      <c r="AC132" s="8" t="n"/>
      <c r="AD132" s="8" t="n"/>
      <c r="AE132" s="8" t="n"/>
      <c r="AF132" s="8" t="n"/>
      <c r="AG132" s="8" t="n"/>
      <c r="AH132" s="8" t="n"/>
      <c r="AI132" s="8" t="n"/>
      <c r="AJ132" s="8">
        <f>IF(OR(AH132="",'Submission &amp; QC'!$C$18=""),"",IF(AND(ABS(AH132-'Submission &amp; QC'!$C$18)&lt;=0.0005*ABS('Submission &amp; QC'!$C$18),ABS(AI132-'Submission &amp; QC'!$C$19)&lt;=0.0005*ABS('Submission &amp; QC'!$C$19)),"Pass","Fail"))</f>
        <v/>
      </c>
      <c r="AK132" s="8" t="n"/>
      <c r="AL132" s="8" t="n"/>
    </row>
    <row r="133" ht="225" customHeight="1">
      <c r="A133" s="3" t="inlineStr">
        <is>
          <t>A132</t>
        </is>
      </c>
      <c r="B133" s="7" t="inlineStr">
        <is>
          <t>A</t>
        </is>
      </c>
      <c r="C133" s="3" t="n">
        <v>3</v>
      </c>
      <c r="D133" s="3" t="inlineStr">
        <is>
          <t>Install</t>
        </is>
      </c>
      <c r="E133" s="3" t="inlineStr">
        <is>
          <t>INST-FL-Mid-Large-Clust-Large</t>
        </is>
      </c>
      <c r="F133" s="3" t="inlineStr">
        <is>
          <t>Install large modules, clustered, mid-shelf (30-60 m), Florida panhandle (east of the Perdido River), large budget ($5-15 M)</t>
        </is>
      </c>
      <c r="G133" s="3" t="inlineStr">
        <is>
          <t>Florida panhandle (east of the Perdido River)</t>
        </is>
      </c>
      <c r="H133" s="3" t="inlineStr">
        <is>
          <t>Mid-shelf (30-60 m)</t>
        </is>
      </c>
      <c r="I133" s="3" t="inlineStr">
        <is>
          <t>Large module ($12,000; 20 m2; 6 m tall)</t>
        </is>
      </c>
      <c r="J133" s="3" t="inlineStr">
        <is>
          <t>Clustered (favour cells next to existing modules)</t>
        </is>
      </c>
      <c r="K133" s="3" t="inlineStr">
        <is>
          <t>Large: $5-15 M</t>
        </is>
      </c>
      <c r="L133" s="3" t="n"/>
      <c r="M133" s="3" t="n"/>
      <c r="N133" s="3" t="n"/>
      <c r="O133" s="3" t="n"/>
      <c r="P133" s="3" t="n"/>
      <c r="Q133" s="3" t="n"/>
      <c r="R133"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30
Installation &gt; Max depth (m): 60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1,132</t>
        </is>
      </c>
      <c r="S133" s="3" t="inlineStr">
        <is>
          <t>A132_INST-FL-Mid-Large-Clust-Large.json</t>
        </is>
      </c>
      <c r="T133" s="3" t="n">
        <v>100</v>
      </c>
      <c r="U133" s="3" t="n">
        <v>1132</v>
      </c>
      <c r="V133" s="3" t="n">
        <v>242</v>
      </c>
      <c r="W133" s="3" t="n"/>
      <c r="X133" s="3">
        <f>ROUND((T133+1)*'Read me'!$C$14/60,1)</f>
        <v/>
      </c>
      <c r="Y133" s="8" t="n"/>
      <c r="Z133" s="8" t="inlineStr">
        <is>
          <t>Not started</t>
        </is>
      </c>
      <c r="AA133" s="8" t="n"/>
      <c r="AB133" s="8" t="n"/>
      <c r="AC133" s="8" t="n"/>
      <c r="AD133" s="8" t="n"/>
      <c r="AE133" s="8" t="n"/>
      <c r="AF133" s="8" t="n"/>
      <c r="AG133" s="8" t="n"/>
      <c r="AH133" s="8" t="n"/>
      <c r="AI133" s="8" t="n"/>
      <c r="AJ133" s="8">
        <f>IF(OR(AH133="",'Submission &amp; QC'!$C$18=""),"",IF(AND(ABS(AH133-'Submission &amp; QC'!$C$18)&lt;=0.0005*ABS('Submission &amp; QC'!$C$18),ABS(AI133-'Submission &amp; QC'!$C$19)&lt;=0.0005*ABS('Submission &amp; QC'!$C$19)),"Pass","Fail"))</f>
        <v/>
      </c>
      <c r="AK133" s="8" t="n"/>
      <c r="AL133" s="8" t="n"/>
    </row>
    <row r="134" ht="165" customHeight="1">
      <c r="A134" s="3" t="inlineStr">
        <is>
          <t>A133</t>
        </is>
      </c>
      <c r="B134" s="7" t="inlineStr">
        <is>
          <t>A</t>
        </is>
      </c>
      <c r="C134" s="3" t="n">
        <v>2</v>
      </c>
      <c r="D134" s="3" t="inlineStr">
        <is>
          <t>Install</t>
        </is>
      </c>
      <c r="E134" s="3" t="inlineStr">
        <is>
          <t>INST-FL-Deep-Std-Disp-Small</t>
        </is>
      </c>
      <c r="F134" s="3" t="inlineStr">
        <is>
          <t>Install standard prefab modules, dispersed, deep (60-100 m), Florida panhandle (east of the Perdido River), small budget ($0.1-1 M)</t>
        </is>
      </c>
      <c r="G134" s="3" t="inlineStr">
        <is>
          <t>Florida panhandle (east of the Perdido River)</t>
        </is>
      </c>
      <c r="H134" s="3" t="inlineStr">
        <is>
          <t>Deep (60-100 m)</t>
        </is>
      </c>
      <c r="I134" s="3" t="inlineStr">
        <is>
          <t>Standard prefab module ($2,500; 6 m2; 3 m tall)</t>
        </is>
      </c>
      <c r="J134" s="3" t="inlineStr">
        <is>
          <t>Dispersed (no connectivity preference)</t>
        </is>
      </c>
      <c r="K134" s="3" t="inlineStr">
        <is>
          <t>Small: $0.1-1 M</t>
        </is>
      </c>
      <c r="L134" s="3" t="n"/>
      <c r="M134" s="3" t="n"/>
      <c r="N134" s="3" t="n"/>
      <c r="O134" s="3" t="n"/>
      <c r="P134" s="3" t="n"/>
      <c r="Q134" s="3" t="n"/>
      <c r="R134" s="3" t="inlineStr">
        <is>
          <t>Strategy &gt; Strategy: Install new structures
Installation &gt; Maximum budget per scenario (USD): 1,000,000
Installation &gt; Minimum budget per scenario (USD): 100,000
Installation &gt; How budgets are drawn: Uniform
Installation &gt; West lon: -87.51
Installation &gt; Min depth (m): 60
Installation &gt; Max depth (m): 100
Installation &gt; Favour cells next to existing modules: unticked
Live solver / Search &gt; Number of scenarios to run: 100
Search &gt; Search algorithm: Random search
Search &gt; Random seed: 1,133</t>
        </is>
      </c>
      <c r="S134" s="3" t="inlineStr">
        <is>
          <t>A133_INST-FL-Deep-Std-Disp-Small.json</t>
        </is>
      </c>
      <c r="T134" s="3" t="n">
        <v>100</v>
      </c>
      <c r="U134" s="3" t="n">
        <v>1133</v>
      </c>
      <c r="V134" s="3" t="n">
        <v>145</v>
      </c>
      <c r="W134" s="3" t="n"/>
      <c r="X134" s="3">
        <f>ROUND((T134+1)*'Read me'!$C$14/60,1)</f>
        <v/>
      </c>
      <c r="Y134" s="8" t="n"/>
      <c r="Z134" s="8" t="inlineStr">
        <is>
          <t>Not started</t>
        </is>
      </c>
      <c r="AA134" s="8" t="n"/>
      <c r="AB134" s="8" t="n"/>
      <c r="AC134" s="8" t="n"/>
      <c r="AD134" s="8" t="n"/>
      <c r="AE134" s="8" t="n"/>
      <c r="AF134" s="8" t="n"/>
      <c r="AG134" s="8" t="n"/>
      <c r="AH134" s="8" t="n"/>
      <c r="AI134" s="8" t="n"/>
      <c r="AJ134" s="8">
        <f>IF(OR(AH134="",'Submission &amp; QC'!$C$18=""),"",IF(AND(ABS(AH134-'Submission &amp; QC'!$C$18)&lt;=0.0005*ABS('Submission &amp; QC'!$C$18),ABS(AI134-'Submission &amp; QC'!$C$19)&lt;=0.0005*ABS('Submission &amp; QC'!$C$19)),"Pass","Fail"))</f>
        <v/>
      </c>
      <c r="AK134" s="8" t="n"/>
      <c r="AL134" s="8" t="n"/>
    </row>
    <row r="135" ht="165" customHeight="1">
      <c r="A135" s="3" t="inlineStr">
        <is>
          <t>A134</t>
        </is>
      </c>
      <c r="B135" s="7" t="inlineStr">
        <is>
          <t>A</t>
        </is>
      </c>
      <c r="C135" s="3" t="n">
        <v>2</v>
      </c>
      <c r="D135" s="3" t="inlineStr">
        <is>
          <t>Install</t>
        </is>
      </c>
      <c r="E135" s="3" t="inlineStr">
        <is>
          <t>INST-FL-Deep-Std-Disp-Medium</t>
        </is>
      </c>
      <c r="F135" s="3" t="inlineStr">
        <is>
          <t>Install standard prefab modules, dispersed, deep (60-100 m), Florida panhandle (east of the Perdido River), medium budget ($1-5 M)</t>
        </is>
      </c>
      <c r="G135" s="3" t="inlineStr">
        <is>
          <t>Florida panhandle (east of the Perdido River)</t>
        </is>
      </c>
      <c r="H135" s="3" t="inlineStr">
        <is>
          <t>Deep (60-100 m)</t>
        </is>
      </c>
      <c r="I135" s="3" t="inlineStr">
        <is>
          <t>Standard prefab module ($2,500; 6 m2; 3 m tall)</t>
        </is>
      </c>
      <c r="J135" s="3" t="inlineStr">
        <is>
          <t>Dispersed (no connectivity preference)</t>
        </is>
      </c>
      <c r="K135" s="3" t="inlineStr">
        <is>
          <t>Medium: $1-5 M</t>
        </is>
      </c>
      <c r="L135" s="3" t="n"/>
      <c r="M135" s="3" t="n"/>
      <c r="N135" s="3" t="n"/>
      <c r="O135" s="3" t="n"/>
      <c r="P135" s="3" t="n"/>
      <c r="Q135" s="3" t="n"/>
      <c r="R135" s="3" t="inlineStr">
        <is>
          <t>Strategy &gt; Strategy: Install new structures
Installation &gt; Maximum budget per scenario (USD): 5,000,000
Installation &gt; Minimum budget per scenario (USD): 1,000,000
Installation &gt; How budgets are drawn: Uniform
Installation &gt; West lon: -87.51
Installation &gt; Min depth (m): 60
Installation &gt; Max depth (m): 100
Installation &gt; Favour cells next to existing modules: unticked
Live solver / Search &gt; Number of scenarios to run: 100
Search &gt; Search algorithm: Random search
Search &gt; Random seed: 1,134</t>
        </is>
      </c>
      <c r="S135" s="3" t="inlineStr">
        <is>
          <t>A134_INST-FL-Deep-Std-Disp-Medium.json</t>
        </is>
      </c>
      <c r="T135" s="3" t="n">
        <v>100</v>
      </c>
      <c r="U135" s="3" t="n">
        <v>1134</v>
      </c>
      <c r="V135" s="3" t="n">
        <v>145</v>
      </c>
      <c r="W135" s="3" t="n"/>
      <c r="X135" s="3">
        <f>ROUND((T135+1)*'Read me'!$C$14/60,1)</f>
        <v/>
      </c>
      <c r="Y135" s="8" t="n"/>
      <c r="Z135" s="8" t="inlineStr">
        <is>
          <t>Not started</t>
        </is>
      </c>
      <c r="AA135" s="8" t="n"/>
      <c r="AB135" s="8" t="n"/>
      <c r="AC135" s="8" t="n"/>
      <c r="AD135" s="8" t="n"/>
      <c r="AE135" s="8" t="n"/>
      <c r="AF135" s="8" t="n"/>
      <c r="AG135" s="8" t="n"/>
      <c r="AH135" s="8" t="n"/>
      <c r="AI135" s="8" t="n"/>
      <c r="AJ135" s="8">
        <f>IF(OR(AH135="",'Submission &amp; QC'!$C$18=""),"",IF(AND(ABS(AH135-'Submission &amp; QC'!$C$18)&lt;=0.0005*ABS('Submission &amp; QC'!$C$18),ABS(AI135-'Submission &amp; QC'!$C$19)&lt;=0.0005*ABS('Submission &amp; QC'!$C$19)),"Pass","Fail"))</f>
        <v/>
      </c>
      <c r="AK135" s="8" t="n"/>
      <c r="AL135" s="8" t="n"/>
    </row>
    <row r="136" ht="165" customHeight="1">
      <c r="A136" s="3" t="inlineStr">
        <is>
          <t>A135</t>
        </is>
      </c>
      <c r="B136" s="7" t="inlineStr">
        <is>
          <t>A</t>
        </is>
      </c>
      <c r="C136" s="3" t="n">
        <v>2</v>
      </c>
      <c r="D136" s="3" t="inlineStr">
        <is>
          <t>Install</t>
        </is>
      </c>
      <c r="E136" s="3" t="inlineStr">
        <is>
          <t>INST-FL-Deep-Std-Disp-Large</t>
        </is>
      </c>
      <c r="F136" s="3" t="inlineStr">
        <is>
          <t>Install standard prefab modules, dispersed, deep (60-100 m), Florida panhandle (east of the Perdido River), large budget ($5-15 M)</t>
        </is>
      </c>
      <c r="G136" s="3" t="inlineStr">
        <is>
          <t>Florida panhandle (east of the Perdido River)</t>
        </is>
      </c>
      <c r="H136" s="3" t="inlineStr">
        <is>
          <t>Deep (60-100 m)</t>
        </is>
      </c>
      <c r="I136" s="3" t="inlineStr">
        <is>
          <t>Standard prefab module ($2,500; 6 m2; 3 m tall)</t>
        </is>
      </c>
      <c r="J136" s="3" t="inlineStr">
        <is>
          <t>Dispersed (no connectivity preference)</t>
        </is>
      </c>
      <c r="K136" s="3" t="inlineStr">
        <is>
          <t>Large: $5-15 M</t>
        </is>
      </c>
      <c r="L136" s="3" t="n"/>
      <c r="M136" s="3" t="n"/>
      <c r="N136" s="3" t="n"/>
      <c r="O136" s="3" t="n"/>
      <c r="P136" s="3" t="n"/>
      <c r="Q136" s="3" t="n"/>
      <c r="R136"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60
Installation &gt; Max depth (m): 100
Installation &gt; Favour cells next to existing modules: unticked
Live solver / Search &gt; Number of scenarios to run: 100
Search &gt; Search algorithm: Random search
Search &gt; Random seed: 1,135</t>
        </is>
      </c>
      <c r="S136" s="3" t="inlineStr">
        <is>
          <t>A135_INST-FL-Deep-Std-Disp-Large.json</t>
        </is>
      </c>
      <c r="T136" s="3" t="n">
        <v>100</v>
      </c>
      <c r="U136" s="3" t="n">
        <v>1135</v>
      </c>
      <c r="V136" s="3" t="n">
        <v>145</v>
      </c>
      <c r="W136" s="3" t="n"/>
      <c r="X136" s="3">
        <f>ROUND((T136+1)*'Read me'!$C$14/60,1)</f>
        <v/>
      </c>
      <c r="Y136" s="8" t="n"/>
      <c r="Z136" s="8" t="inlineStr">
        <is>
          <t>Not started</t>
        </is>
      </c>
      <c r="AA136" s="8" t="n"/>
      <c r="AB136" s="8" t="n"/>
      <c r="AC136" s="8" t="n"/>
      <c r="AD136" s="8" t="n"/>
      <c r="AE136" s="8" t="n"/>
      <c r="AF136" s="8" t="n"/>
      <c r="AG136" s="8" t="n"/>
      <c r="AH136" s="8" t="n"/>
      <c r="AI136" s="8" t="n"/>
      <c r="AJ136" s="8">
        <f>IF(OR(AH136="",'Submission &amp; QC'!$C$18=""),"",IF(AND(ABS(AH136-'Submission &amp; QC'!$C$18)&lt;=0.0005*ABS('Submission &amp; QC'!$C$18),ABS(AI136-'Submission &amp; QC'!$C$19)&lt;=0.0005*ABS('Submission &amp; QC'!$C$19)),"Pass","Fail"))</f>
        <v/>
      </c>
      <c r="AK136" s="8" t="n"/>
      <c r="AL136" s="8" t="n"/>
    </row>
    <row r="137" ht="180" customHeight="1">
      <c r="A137" s="3" t="inlineStr">
        <is>
          <t>A136</t>
        </is>
      </c>
      <c r="B137" s="7" t="inlineStr">
        <is>
          <t>A</t>
        </is>
      </c>
      <c r="C137" s="3" t="n">
        <v>2</v>
      </c>
      <c r="D137" s="3" t="inlineStr">
        <is>
          <t>Install</t>
        </is>
      </c>
      <c r="E137" s="3" t="inlineStr">
        <is>
          <t>INST-FL-Deep-Std-Clust-Small</t>
        </is>
      </c>
      <c r="F137" s="3" t="inlineStr">
        <is>
          <t>Install standard prefab modules, clustered, deep (60-100 m), Florida panhandle (east of the Perdido River), small budget ($0.1-1 M)</t>
        </is>
      </c>
      <c r="G137" s="3" t="inlineStr">
        <is>
          <t>Florida panhandle (east of the Perdido River)</t>
        </is>
      </c>
      <c r="H137" s="3" t="inlineStr">
        <is>
          <t>Deep (60-100 m)</t>
        </is>
      </c>
      <c r="I137" s="3" t="inlineStr">
        <is>
          <t>Standard prefab module ($2,500; 6 m2; 3 m tall)</t>
        </is>
      </c>
      <c r="J137" s="3" t="inlineStr">
        <is>
          <t>Clustered (favour cells next to existing modules)</t>
        </is>
      </c>
      <c r="K137" s="3" t="inlineStr">
        <is>
          <t>Small: $0.1-1 M</t>
        </is>
      </c>
      <c r="L137" s="3" t="n"/>
      <c r="M137" s="3" t="n"/>
      <c r="N137" s="3" t="n"/>
      <c r="O137" s="3" t="n"/>
      <c r="P137" s="3" t="n"/>
      <c r="Q137" s="3" t="n"/>
      <c r="R137" s="3" t="inlineStr">
        <is>
          <t>Strategy &gt; Strategy: Install new structures
Installation &gt; Maximum budget per scenario (USD): 1,000,000
Installation &gt; Minimum budget per scenario (USD): 100,000
Installation &gt; How budgets are drawn: Uniform
Installation &gt; West lon: -87.51
Installation &gt; Min depth (m): 60
Installation &gt; Max depth (m): 100
Installation &gt; Favour cells next to existing modules: ticked
Installation &gt; Connectivity bonus: 10
Live solver / Search &gt; Number of scenarios to run: 100
Search &gt; Search algorithm: Random search
Search &gt; Random seed: 1,136</t>
        </is>
      </c>
      <c r="S137" s="3" t="inlineStr">
        <is>
          <t>A136_INST-FL-Deep-Std-Clust-Small.json</t>
        </is>
      </c>
      <c r="T137" s="3" t="n">
        <v>100</v>
      </c>
      <c r="U137" s="3" t="n">
        <v>1136</v>
      </c>
      <c r="V137" s="3" t="n">
        <v>145</v>
      </c>
      <c r="W137" s="3" t="n"/>
      <c r="X137" s="3">
        <f>ROUND((T137+1)*'Read me'!$C$14/60,1)</f>
        <v/>
      </c>
      <c r="Y137" s="8" t="n"/>
      <c r="Z137" s="8" t="inlineStr">
        <is>
          <t>Not started</t>
        </is>
      </c>
      <c r="AA137" s="8" t="n"/>
      <c r="AB137" s="8" t="n"/>
      <c r="AC137" s="8" t="n"/>
      <c r="AD137" s="8" t="n"/>
      <c r="AE137" s="8" t="n"/>
      <c r="AF137" s="8" t="n"/>
      <c r="AG137" s="8" t="n"/>
      <c r="AH137" s="8" t="n"/>
      <c r="AI137" s="8" t="n"/>
      <c r="AJ137" s="8">
        <f>IF(OR(AH137="",'Submission &amp; QC'!$C$18=""),"",IF(AND(ABS(AH137-'Submission &amp; QC'!$C$18)&lt;=0.0005*ABS('Submission &amp; QC'!$C$18),ABS(AI137-'Submission &amp; QC'!$C$19)&lt;=0.0005*ABS('Submission &amp; QC'!$C$19)),"Pass","Fail"))</f>
        <v/>
      </c>
      <c r="AK137" s="8" t="n"/>
      <c r="AL137" s="8" t="n"/>
    </row>
    <row r="138" ht="180" customHeight="1">
      <c r="A138" s="3" t="inlineStr">
        <is>
          <t>A137</t>
        </is>
      </c>
      <c r="B138" s="7" t="inlineStr">
        <is>
          <t>A</t>
        </is>
      </c>
      <c r="C138" s="3" t="n">
        <v>2</v>
      </c>
      <c r="D138" s="3" t="inlineStr">
        <is>
          <t>Install</t>
        </is>
      </c>
      <c r="E138" s="3" t="inlineStr">
        <is>
          <t>INST-FL-Deep-Std-Clust-Medium</t>
        </is>
      </c>
      <c r="F138" s="3" t="inlineStr">
        <is>
          <t>Install standard prefab modules, clustered, deep (60-100 m), Florida panhandle (east of the Perdido River), medium budget ($1-5 M)</t>
        </is>
      </c>
      <c r="G138" s="3" t="inlineStr">
        <is>
          <t>Florida panhandle (east of the Perdido River)</t>
        </is>
      </c>
      <c r="H138" s="3" t="inlineStr">
        <is>
          <t>Deep (60-100 m)</t>
        </is>
      </c>
      <c r="I138" s="3" t="inlineStr">
        <is>
          <t>Standard prefab module ($2,500; 6 m2; 3 m tall)</t>
        </is>
      </c>
      <c r="J138" s="3" t="inlineStr">
        <is>
          <t>Clustered (favour cells next to existing modules)</t>
        </is>
      </c>
      <c r="K138" s="3" t="inlineStr">
        <is>
          <t>Medium: $1-5 M</t>
        </is>
      </c>
      <c r="L138" s="3" t="n"/>
      <c r="M138" s="3" t="n"/>
      <c r="N138" s="3" t="n"/>
      <c r="O138" s="3" t="n"/>
      <c r="P138" s="3" t="n"/>
      <c r="Q138" s="3" t="n"/>
      <c r="R138" s="3" t="inlineStr">
        <is>
          <t>Strategy &gt; Strategy: Install new structures
Installation &gt; Maximum budget per scenario (USD): 5,000,000
Installation &gt; Minimum budget per scenario (USD): 1,000,000
Installation &gt; How budgets are drawn: Uniform
Installation &gt; West lon: -87.51
Installation &gt; Min depth (m): 60
Installation &gt; Max depth (m): 100
Installation &gt; Favour cells next to existing modules: ticked
Installation &gt; Connectivity bonus: 10
Live solver / Search &gt; Number of scenarios to run: 100
Search &gt; Search algorithm: Random search
Search &gt; Random seed: 1,137</t>
        </is>
      </c>
      <c r="S138" s="3" t="inlineStr">
        <is>
          <t>A137_INST-FL-Deep-Std-Clust-Medium.json</t>
        </is>
      </c>
      <c r="T138" s="3" t="n">
        <v>100</v>
      </c>
      <c r="U138" s="3" t="n">
        <v>1137</v>
      </c>
      <c r="V138" s="3" t="n">
        <v>145</v>
      </c>
      <c r="W138" s="3" t="n"/>
      <c r="X138" s="3">
        <f>ROUND((T138+1)*'Read me'!$C$14/60,1)</f>
        <v/>
      </c>
      <c r="Y138" s="8" t="n"/>
      <c r="Z138" s="8" t="inlineStr">
        <is>
          <t>Not started</t>
        </is>
      </c>
      <c r="AA138" s="8" t="n"/>
      <c r="AB138" s="8" t="n"/>
      <c r="AC138" s="8" t="n"/>
      <c r="AD138" s="8" t="n"/>
      <c r="AE138" s="8" t="n"/>
      <c r="AF138" s="8" t="n"/>
      <c r="AG138" s="8" t="n"/>
      <c r="AH138" s="8" t="n"/>
      <c r="AI138" s="8" t="n"/>
      <c r="AJ138" s="8">
        <f>IF(OR(AH138="",'Submission &amp; QC'!$C$18=""),"",IF(AND(ABS(AH138-'Submission &amp; QC'!$C$18)&lt;=0.0005*ABS('Submission &amp; QC'!$C$18),ABS(AI138-'Submission &amp; QC'!$C$19)&lt;=0.0005*ABS('Submission &amp; QC'!$C$19)),"Pass","Fail"))</f>
        <v/>
      </c>
      <c r="AK138" s="8" t="n"/>
      <c r="AL138" s="8" t="n"/>
    </row>
    <row r="139" ht="180" customHeight="1">
      <c r="A139" s="3" t="inlineStr">
        <is>
          <t>A138</t>
        </is>
      </c>
      <c r="B139" s="7" t="inlineStr">
        <is>
          <t>A</t>
        </is>
      </c>
      <c r="C139" s="3" t="n">
        <v>2</v>
      </c>
      <c r="D139" s="3" t="inlineStr">
        <is>
          <t>Install</t>
        </is>
      </c>
      <c r="E139" s="3" t="inlineStr">
        <is>
          <t>INST-FL-Deep-Std-Clust-Large</t>
        </is>
      </c>
      <c r="F139" s="3" t="inlineStr">
        <is>
          <t>Install standard prefab modules, clustered, deep (60-100 m), Florida panhandle (east of the Perdido River), large budget ($5-15 M)</t>
        </is>
      </c>
      <c r="G139" s="3" t="inlineStr">
        <is>
          <t>Florida panhandle (east of the Perdido River)</t>
        </is>
      </c>
      <c r="H139" s="3" t="inlineStr">
        <is>
          <t>Deep (60-100 m)</t>
        </is>
      </c>
      <c r="I139" s="3" t="inlineStr">
        <is>
          <t>Standard prefab module ($2,500; 6 m2; 3 m tall)</t>
        </is>
      </c>
      <c r="J139" s="3" t="inlineStr">
        <is>
          <t>Clustered (favour cells next to existing modules)</t>
        </is>
      </c>
      <c r="K139" s="3" t="inlineStr">
        <is>
          <t>Large: $5-15 M</t>
        </is>
      </c>
      <c r="L139" s="3" t="n"/>
      <c r="M139" s="3" t="n"/>
      <c r="N139" s="3" t="n"/>
      <c r="O139" s="3" t="n"/>
      <c r="P139" s="3" t="n"/>
      <c r="Q139" s="3" t="n"/>
      <c r="R139"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60
Installation &gt; Max depth (m): 100
Installation &gt; Favour cells next to existing modules: ticked
Installation &gt; Connectivity bonus: 10
Live solver / Search &gt; Number of scenarios to run: 100
Search &gt; Search algorithm: Random search
Search &gt; Random seed: 1,138</t>
        </is>
      </c>
      <c r="S139" s="3" t="inlineStr">
        <is>
          <t>A138_INST-FL-Deep-Std-Clust-Large.json</t>
        </is>
      </c>
      <c r="T139" s="3" t="n">
        <v>100</v>
      </c>
      <c r="U139" s="3" t="n">
        <v>1138</v>
      </c>
      <c r="V139" s="3" t="n">
        <v>145</v>
      </c>
      <c r="W139" s="3" t="n"/>
      <c r="X139" s="3">
        <f>ROUND((T139+1)*'Read me'!$C$14/60,1)</f>
        <v/>
      </c>
      <c r="Y139" s="8" t="n"/>
      <c r="Z139" s="8" t="inlineStr">
        <is>
          <t>Not started</t>
        </is>
      </c>
      <c r="AA139" s="8" t="n"/>
      <c r="AB139" s="8" t="n"/>
      <c r="AC139" s="8" t="n"/>
      <c r="AD139" s="8" t="n"/>
      <c r="AE139" s="8" t="n"/>
      <c r="AF139" s="8" t="n"/>
      <c r="AG139" s="8" t="n"/>
      <c r="AH139" s="8" t="n"/>
      <c r="AI139" s="8" t="n"/>
      <c r="AJ139" s="8">
        <f>IF(OR(AH139="",'Submission &amp; QC'!$C$18=""),"",IF(AND(ABS(AH139-'Submission &amp; QC'!$C$18)&lt;=0.0005*ABS('Submission &amp; QC'!$C$18),ABS(AI139-'Submission &amp; QC'!$C$19)&lt;=0.0005*ABS('Submission &amp; QC'!$C$19)),"Pass","Fail"))</f>
        <v/>
      </c>
      <c r="AK139" s="8" t="n"/>
      <c r="AL139" s="8" t="n"/>
    </row>
    <row r="140" ht="210" customHeight="1">
      <c r="A140" s="3" t="inlineStr">
        <is>
          <t>A139</t>
        </is>
      </c>
      <c r="B140" s="7" t="inlineStr">
        <is>
          <t>A</t>
        </is>
      </c>
      <c r="C140" s="3" t="n">
        <v>3</v>
      </c>
      <c r="D140" s="3" t="inlineStr">
        <is>
          <t>Install</t>
        </is>
      </c>
      <c r="E140" s="3" t="inlineStr">
        <is>
          <t>INST-FL-Deep-Large-Disp-Small</t>
        </is>
      </c>
      <c r="F140" s="3" t="inlineStr">
        <is>
          <t>Install large modules, dispersed, deep (60-100 m), Florida panhandle (east of the Perdido River), small budget ($0.1-1 M)</t>
        </is>
      </c>
      <c r="G140" s="3" t="inlineStr">
        <is>
          <t>Florida panhandle (east of the Perdido River)</t>
        </is>
      </c>
      <c r="H140" s="3" t="inlineStr">
        <is>
          <t>Deep (60-100 m)</t>
        </is>
      </c>
      <c r="I140" s="3" t="inlineStr">
        <is>
          <t>Large module ($12,000; 20 m2; 6 m tall)</t>
        </is>
      </c>
      <c r="J140" s="3" t="inlineStr">
        <is>
          <t>Dispersed (no connectivity preference)</t>
        </is>
      </c>
      <c r="K140" s="3" t="inlineStr">
        <is>
          <t>Small: $0.1-1 M</t>
        </is>
      </c>
      <c r="L140" s="3" t="n"/>
      <c r="M140" s="3" t="n"/>
      <c r="N140" s="3" t="n"/>
      <c r="O140" s="3" t="n"/>
      <c r="P140" s="3" t="n"/>
      <c r="Q140" s="3" t="n"/>
      <c r="R140" s="3" t="inlineStr">
        <is>
          <t>Strategy &gt; Strategy: Install new structures
Installation &gt; Maximum budget per scenario (USD): 1,000,000
Installation &gt; Minimum budget per scenario (USD): 100,000
Installation &gt; How budgets are drawn: Uniform
Installation &gt; West lon: -87.51
Installation &gt; Min depth (m): 60
Installation &gt; Max depth (m): 100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1,139</t>
        </is>
      </c>
      <c r="S140" s="3" t="inlineStr">
        <is>
          <t>A139_INST-FL-Deep-Large-Disp-Small.json</t>
        </is>
      </c>
      <c r="T140" s="3" t="n">
        <v>100</v>
      </c>
      <c r="U140" s="3" t="n">
        <v>1139</v>
      </c>
      <c r="V140" s="3" t="n">
        <v>145</v>
      </c>
      <c r="W140" s="3" t="n"/>
      <c r="X140" s="3">
        <f>ROUND((T140+1)*'Read me'!$C$14/60,1)</f>
        <v/>
      </c>
      <c r="Y140" s="8" t="n"/>
      <c r="Z140" s="8" t="inlineStr">
        <is>
          <t>Not started</t>
        </is>
      </c>
      <c r="AA140" s="8" t="n"/>
      <c r="AB140" s="8" t="n"/>
      <c r="AC140" s="8" t="n"/>
      <c r="AD140" s="8" t="n"/>
      <c r="AE140" s="8" t="n"/>
      <c r="AF140" s="8" t="n"/>
      <c r="AG140" s="8" t="n"/>
      <c r="AH140" s="8" t="n"/>
      <c r="AI140" s="8" t="n"/>
      <c r="AJ140" s="8">
        <f>IF(OR(AH140="",'Submission &amp; QC'!$C$18=""),"",IF(AND(ABS(AH140-'Submission &amp; QC'!$C$18)&lt;=0.0005*ABS('Submission &amp; QC'!$C$18),ABS(AI140-'Submission &amp; QC'!$C$19)&lt;=0.0005*ABS('Submission &amp; QC'!$C$19)),"Pass","Fail"))</f>
        <v/>
      </c>
      <c r="AK140" s="8" t="n"/>
      <c r="AL140" s="8" t="n"/>
    </row>
    <row r="141" ht="210" customHeight="1">
      <c r="A141" s="3" t="inlineStr">
        <is>
          <t>A140</t>
        </is>
      </c>
      <c r="B141" s="7" t="inlineStr">
        <is>
          <t>A</t>
        </is>
      </c>
      <c r="C141" s="3" t="n">
        <v>3</v>
      </c>
      <c r="D141" s="3" t="inlineStr">
        <is>
          <t>Install</t>
        </is>
      </c>
      <c r="E141" s="3" t="inlineStr">
        <is>
          <t>INST-FL-Deep-Large-Disp-Medium</t>
        </is>
      </c>
      <c r="F141" s="3" t="inlineStr">
        <is>
          <t>Install large modules, dispersed, deep (60-100 m), Florida panhandle (east of the Perdido River), medium budget ($1-5 M)</t>
        </is>
      </c>
      <c r="G141" s="3" t="inlineStr">
        <is>
          <t>Florida panhandle (east of the Perdido River)</t>
        </is>
      </c>
      <c r="H141" s="3" t="inlineStr">
        <is>
          <t>Deep (60-100 m)</t>
        </is>
      </c>
      <c r="I141" s="3" t="inlineStr">
        <is>
          <t>Large module ($12,000; 20 m2; 6 m tall)</t>
        </is>
      </c>
      <c r="J141" s="3" t="inlineStr">
        <is>
          <t>Dispersed (no connectivity preference)</t>
        </is>
      </c>
      <c r="K141" s="3" t="inlineStr">
        <is>
          <t>Medium: $1-5 M</t>
        </is>
      </c>
      <c r="L141" s="3" t="n"/>
      <c r="M141" s="3" t="n"/>
      <c r="N141" s="3" t="n"/>
      <c r="O141" s="3" t="n"/>
      <c r="P141" s="3" t="n"/>
      <c r="Q141" s="3" t="n"/>
      <c r="R141" s="3" t="inlineStr">
        <is>
          <t>Strategy &gt; Strategy: Install new structures
Installation &gt; Maximum budget per scenario (USD): 5,000,000
Installation &gt; Minimum budget per scenario (USD): 1,000,000
Installation &gt; How budgets are drawn: Uniform
Installation &gt; West lon: -87.51
Installation &gt; Min depth (m): 60
Installation &gt; Max depth (m): 100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1,140</t>
        </is>
      </c>
      <c r="S141" s="3" t="inlineStr">
        <is>
          <t>A140_INST-FL-Deep-Large-Disp-Medium.json</t>
        </is>
      </c>
      <c r="T141" s="3" t="n">
        <v>100</v>
      </c>
      <c r="U141" s="3" t="n">
        <v>1140</v>
      </c>
      <c r="V141" s="3" t="n">
        <v>145</v>
      </c>
      <c r="W141" s="3" t="n"/>
      <c r="X141" s="3">
        <f>ROUND((T141+1)*'Read me'!$C$14/60,1)</f>
        <v/>
      </c>
      <c r="Y141" s="8" t="n"/>
      <c r="Z141" s="8" t="inlineStr">
        <is>
          <t>Not started</t>
        </is>
      </c>
      <c r="AA141" s="8" t="n"/>
      <c r="AB141" s="8" t="n"/>
      <c r="AC141" s="8" t="n"/>
      <c r="AD141" s="8" t="n"/>
      <c r="AE141" s="8" t="n"/>
      <c r="AF141" s="8" t="n"/>
      <c r="AG141" s="8" t="n"/>
      <c r="AH141" s="8" t="n"/>
      <c r="AI141" s="8" t="n"/>
      <c r="AJ141" s="8">
        <f>IF(OR(AH141="",'Submission &amp; QC'!$C$18=""),"",IF(AND(ABS(AH141-'Submission &amp; QC'!$C$18)&lt;=0.0005*ABS('Submission &amp; QC'!$C$18),ABS(AI141-'Submission &amp; QC'!$C$19)&lt;=0.0005*ABS('Submission &amp; QC'!$C$19)),"Pass","Fail"))</f>
        <v/>
      </c>
      <c r="AK141" s="8" t="n"/>
      <c r="AL141" s="8" t="n"/>
    </row>
    <row r="142" ht="210" customHeight="1">
      <c r="A142" s="3" t="inlineStr">
        <is>
          <t>A141</t>
        </is>
      </c>
      <c r="B142" s="7" t="inlineStr">
        <is>
          <t>A</t>
        </is>
      </c>
      <c r="C142" s="3" t="n">
        <v>3</v>
      </c>
      <c r="D142" s="3" t="inlineStr">
        <is>
          <t>Install</t>
        </is>
      </c>
      <c r="E142" s="3" t="inlineStr">
        <is>
          <t>INST-FL-Deep-Large-Disp-Large</t>
        </is>
      </c>
      <c r="F142" s="3" t="inlineStr">
        <is>
          <t>Install large modules, dispersed, deep (60-100 m), Florida panhandle (east of the Perdido River), large budget ($5-15 M)</t>
        </is>
      </c>
      <c r="G142" s="3" t="inlineStr">
        <is>
          <t>Florida panhandle (east of the Perdido River)</t>
        </is>
      </c>
      <c r="H142" s="3" t="inlineStr">
        <is>
          <t>Deep (60-100 m)</t>
        </is>
      </c>
      <c r="I142" s="3" t="inlineStr">
        <is>
          <t>Large module ($12,000; 20 m2; 6 m tall)</t>
        </is>
      </c>
      <c r="J142" s="3" t="inlineStr">
        <is>
          <t>Dispersed (no connectivity preference)</t>
        </is>
      </c>
      <c r="K142" s="3" t="inlineStr">
        <is>
          <t>Large: $5-15 M</t>
        </is>
      </c>
      <c r="L142" s="3" t="n"/>
      <c r="M142" s="3" t="n"/>
      <c r="N142" s="3" t="n"/>
      <c r="O142" s="3" t="n"/>
      <c r="P142" s="3" t="n"/>
      <c r="Q142" s="3" t="n"/>
      <c r="R142"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60
Installation &gt; Max depth (m): 100
Installation &gt; Cost per module (USD): 12,000
Installation &gt; Footprint (m2): 20
Installation &gt; Height (m): 6
Installation &gt; Favour cells next to existing modules: unticked
Live solver / Search &gt; Number of scenarios to run: 100
Search &gt; Search algorithm: Random search
Search &gt; Random seed: 1,141</t>
        </is>
      </c>
      <c r="S142" s="3" t="inlineStr">
        <is>
          <t>A141_INST-FL-Deep-Large-Disp-Large.json</t>
        </is>
      </c>
      <c r="T142" s="3" t="n">
        <v>100</v>
      </c>
      <c r="U142" s="3" t="n">
        <v>1141</v>
      </c>
      <c r="V142" s="3" t="n">
        <v>145</v>
      </c>
      <c r="W142" s="3" t="n"/>
      <c r="X142" s="3">
        <f>ROUND((T142+1)*'Read me'!$C$14/60,1)</f>
        <v/>
      </c>
      <c r="Y142" s="8" t="n"/>
      <c r="Z142" s="8" t="inlineStr">
        <is>
          <t>Not started</t>
        </is>
      </c>
      <c r="AA142" s="8" t="n"/>
      <c r="AB142" s="8" t="n"/>
      <c r="AC142" s="8" t="n"/>
      <c r="AD142" s="8" t="n"/>
      <c r="AE142" s="8" t="n"/>
      <c r="AF142" s="8" t="n"/>
      <c r="AG142" s="8" t="n"/>
      <c r="AH142" s="8" t="n"/>
      <c r="AI142" s="8" t="n"/>
      <c r="AJ142" s="8">
        <f>IF(OR(AH142="",'Submission &amp; QC'!$C$18=""),"",IF(AND(ABS(AH142-'Submission &amp; QC'!$C$18)&lt;=0.0005*ABS('Submission &amp; QC'!$C$18),ABS(AI142-'Submission &amp; QC'!$C$19)&lt;=0.0005*ABS('Submission &amp; QC'!$C$19)),"Pass","Fail"))</f>
        <v/>
      </c>
      <c r="AK142" s="8" t="n"/>
      <c r="AL142" s="8" t="n"/>
    </row>
    <row r="143" ht="225" customHeight="1">
      <c r="A143" s="3" t="inlineStr">
        <is>
          <t>A142</t>
        </is>
      </c>
      <c r="B143" s="7" t="inlineStr">
        <is>
          <t>A</t>
        </is>
      </c>
      <c r="C143" s="3" t="n">
        <v>3</v>
      </c>
      <c r="D143" s="3" t="inlineStr">
        <is>
          <t>Install</t>
        </is>
      </c>
      <c r="E143" s="3" t="inlineStr">
        <is>
          <t>INST-FL-Deep-Large-Clust-Small</t>
        </is>
      </c>
      <c r="F143" s="3" t="inlineStr">
        <is>
          <t>Install large modules, clustered, deep (60-100 m), Florida panhandle (east of the Perdido River), small budget ($0.1-1 M)</t>
        </is>
      </c>
      <c r="G143" s="3" t="inlineStr">
        <is>
          <t>Florida panhandle (east of the Perdido River)</t>
        </is>
      </c>
      <c r="H143" s="3" t="inlineStr">
        <is>
          <t>Deep (60-100 m)</t>
        </is>
      </c>
      <c r="I143" s="3" t="inlineStr">
        <is>
          <t>Large module ($12,000; 20 m2; 6 m tall)</t>
        </is>
      </c>
      <c r="J143" s="3" t="inlineStr">
        <is>
          <t>Clustered (favour cells next to existing modules)</t>
        </is>
      </c>
      <c r="K143" s="3" t="inlineStr">
        <is>
          <t>Small: $0.1-1 M</t>
        </is>
      </c>
      <c r="L143" s="3" t="n"/>
      <c r="M143" s="3" t="n"/>
      <c r="N143" s="3" t="n"/>
      <c r="O143" s="3" t="n"/>
      <c r="P143" s="3" t="n"/>
      <c r="Q143" s="3" t="n"/>
      <c r="R143" s="3" t="inlineStr">
        <is>
          <t>Strategy &gt; Strategy: Install new structures
Installation &gt; Maximum budget per scenario (USD): 1,000,000
Installation &gt; Minimum budget per scenario (USD): 100,000
Installation &gt; How budgets are drawn: Uniform
Installation &gt; West lon: -87.51
Installation &gt; Min depth (m): 60
Installation &gt; Max depth (m): 100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1,142</t>
        </is>
      </c>
      <c r="S143" s="3" t="inlineStr">
        <is>
          <t>A142_INST-FL-Deep-Large-Clust-Small.json</t>
        </is>
      </c>
      <c r="T143" s="3" t="n">
        <v>100</v>
      </c>
      <c r="U143" s="3" t="n">
        <v>1142</v>
      </c>
      <c r="V143" s="3" t="n">
        <v>145</v>
      </c>
      <c r="W143" s="3" t="n"/>
      <c r="X143" s="3">
        <f>ROUND((T143+1)*'Read me'!$C$14/60,1)</f>
        <v/>
      </c>
      <c r="Y143" s="8" t="n"/>
      <c r="Z143" s="8" t="inlineStr">
        <is>
          <t>Not started</t>
        </is>
      </c>
      <c r="AA143" s="8" t="n"/>
      <c r="AB143" s="8" t="n"/>
      <c r="AC143" s="8" t="n"/>
      <c r="AD143" s="8" t="n"/>
      <c r="AE143" s="8" t="n"/>
      <c r="AF143" s="8" t="n"/>
      <c r="AG143" s="8" t="n"/>
      <c r="AH143" s="8" t="n"/>
      <c r="AI143" s="8" t="n"/>
      <c r="AJ143" s="8">
        <f>IF(OR(AH143="",'Submission &amp; QC'!$C$18=""),"",IF(AND(ABS(AH143-'Submission &amp; QC'!$C$18)&lt;=0.0005*ABS('Submission &amp; QC'!$C$18),ABS(AI143-'Submission &amp; QC'!$C$19)&lt;=0.0005*ABS('Submission &amp; QC'!$C$19)),"Pass","Fail"))</f>
        <v/>
      </c>
      <c r="AK143" s="8" t="n"/>
      <c r="AL143" s="8" t="n"/>
    </row>
    <row r="144" ht="225" customHeight="1">
      <c r="A144" s="3" t="inlineStr">
        <is>
          <t>A143</t>
        </is>
      </c>
      <c r="B144" s="7" t="inlineStr">
        <is>
          <t>A</t>
        </is>
      </c>
      <c r="C144" s="3" t="n">
        <v>3</v>
      </c>
      <c r="D144" s="3" t="inlineStr">
        <is>
          <t>Install</t>
        </is>
      </c>
      <c r="E144" s="3" t="inlineStr">
        <is>
          <t>INST-FL-Deep-Large-Clust-Medium</t>
        </is>
      </c>
      <c r="F144" s="3" t="inlineStr">
        <is>
          <t>Install large modules, clustered, deep (60-100 m), Florida panhandle (east of the Perdido River), medium budget ($1-5 M)</t>
        </is>
      </c>
      <c r="G144" s="3" t="inlineStr">
        <is>
          <t>Florida panhandle (east of the Perdido River)</t>
        </is>
      </c>
      <c r="H144" s="3" t="inlineStr">
        <is>
          <t>Deep (60-100 m)</t>
        </is>
      </c>
      <c r="I144" s="3" t="inlineStr">
        <is>
          <t>Large module ($12,000; 20 m2; 6 m tall)</t>
        </is>
      </c>
      <c r="J144" s="3" t="inlineStr">
        <is>
          <t>Clustered (favour cells next to existing modules)</t>
        </is>
      </c>
      <c r="K144" s="3" t="inlineStr">
        <is>
          <t>Medium: $1-5 M</t>
        </is>
      </c>
      <c r="L144" s="3" t="n"/>
      <c r="M144" s="3" t="n"/>
      <c r="N144" s="3" t="n"/>
      <c r="O144" s="3" t="n"/>
      <c r="P144" s="3" t="n"/>
      <c r="Q144" s="3" t="n"/>
      <c r="R144" s="3" t="inlineStr">
        <is>
          <t>Strategy &gt; Strategy: Install new structures
Installation &gt; Maximum budget per scenario (USD): 5,000,000
Installation &gt; Minimum budget per scenario (USD): 1,000,000
Installation &gt; How budgets are drawn: Uniform
Installation &gt; West lon: -87.51
Installation &gt; Min depth (m): 60
Installation &gt; Max depth (m): 100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1,143</t>
        </is>
      </c>
      <c r="S144" s="3" t="inlineStr">
        <is>
          <t>A143_INST-FL-Deep-Large-Clust-Medium.json</t>
        </is>
      </c>
      <c r="T144" s="3" t="n">
        <v>100</v>
      </c>
      <c r="U144" s="3" t="n">
        <v>1143</v>
      </c>
      <c r="V144" s="3" t="n">
        <v>145</v>
      </c>
      <c r="W144" s="3" t="n"/>
      <c r="X144" s="3">
        <f>ROUND((T144+1)*'Read me'!$C$14/60,1)</f>
        <v/>
      </c>
      <c r="Y144" s="8" t="n"/>
      <c r="Z144" s="8" t="inlineStr">
        <is>
          <t>Not started</t>
        </is>
      </c>
      <c r="AA144" s="8" t="n"/>
      <c r="AB144" s="8" t="n"/>
      <c r="AC144" s="8" t="n"/>
      <c r="AD144" s="8" t="n"/>
      <c r="AE144" s="8" t="n"/>
      <c r="AF144" s="8" t="n"/>
      <c r="AG144" s="8" t="n"/>
      <c r="AH144" s="8" t="n"/>
      <c r="AI144" s="8" t="n"/>
      <c r="AJ144" s="8">
        <f>IF(OR(AH144="",'Submission &amp; QC'!$C$18=""),"",IF(AND(ABS(AH144-'Submission &amp; QC'!$C$18)&lt;=0.0005*ABS('Submission &amp; QC'!$C$18),ABS(AI144-'Submission &amp; QC'!$C$19)&lt;=0.0005*ABS('Submission &amp; QC'!$C$19)),"Pass","Fail"))</f>
        <v/>
      </c>
      <c r="AK144" s="8" t="n"/>
      <c r="AL144" s="8" t="n"/>
    </row>
    <row r="145" ht="225" customHeight="1">
      <c r="A145" s="3" t="inlineStr">
        <is>
          <t>A144</t>
        </is>
      </c>
      <c r="B145" s="7" t="inlineStr">
        <is>
          <t>A</t>
        </is>
      </c>
      <c r="C145" s="3" t="n">
        <v>3</v>
      </c>
      <c r="D145" s="3" t="inlineStr">
        <is>
          <t>Install</t>
        </is>
      </c>
      <c r="E145" s="3" t="inlineStr">
        <is>
          <t>INST-FL-Deep-Large-Clust-Large</t>
        </is>
      </c>
      <c r="F145" s="3" t="inlineStr">
        <is>
          <t>Install large modules, clustered, deep (60-100 m), Florida panhandle (east of the Perdido River), large budget ($5-15 M)</t>
        </is>
      </c>
      <c r="G145" s="3" t="inlineStr">
        <is>
          <t>Florida panhandle (east of the Perdido River)</t>
        </is>
      </c>
      <c r="H145" s="3" t="inlineStr">
        <is>
          <t>Deep (60-100 m)</t>
        </is>
      </c>
      <c r="I145" s="3" t="inlineStr">
        <is>
          <t>Large module ($12,000; 20 m2; 6 m tall)</t>
        </is>
      </c>
      <c r="J145" s="3" t="inlineStr">
        <is>
          <t>Clustered (favour cells next to existing modules)</t>
        </is>
      </c>
      <c r="K145" s="3" t="inlineStr">
        <is>
          <t>Large: $5-15 M</t>
        </is>
      </c>
      <c r="L145" s="3" t="n"/>
      <c r="M145" s="3" t="n"/>
      <c r="N145" s="3" t="n"/>
      <c r="O145" s="3" t="n"/>
      <c r="P145" s="3" t="n"/>
      <c r="Q145" s="3" t="n"/>
      <c r="R145" s="3" t="inlineStr">
        <is>
          <t>Strategy &gt; Strategy: Install new structures
Installation &gt; Maximum budget per scenario (USD): 15,000,000
Installation &gt; Minimum budget per scenario (USD): 5,000,000
Installation &gt; How budgets are drawn: Uniform
Installation &gt; West lon: -87.51
Installation &gt; Min depth (m): 60
Installation &gt; Max depth (m): 100
Installation &gt; Cost per module (USD): 12,000
Installation &gt; Footprint (m2): 20
Installation &gt; Height (m): 6
Installation &gt; Favour cells next to existing modules: ticked
Installation &gt; Connectivity bonus: 10
Live solver / Search &gt; Number of scenarios to run: 100
Search &gt; Search algorithm: Random search
Search &gt; Random seed: 1,144</t>
        </is>
      </c>
      <c r="S145" s="3" t="inlineStr">
        <is>
          <t>A144_INST-FL-Deep-Large-Clust-Large.json</t>
        </is>
      </c>
      <c r="T145" s="3" t="n">
        <v>100</v>
      </c>
      <c r="U145" s="3" t="n">
        <v>1144</v>
      </c>
      <c r="V145" s="3" t="n">
        <v>145</v>
      </c>
      <c r="W145" s="3" t="n"/>
      <c r="X145" s="3">
        <f>ROUND((T145+1)*'Read me'!$C$14/60,1)</f>
        <v/>
      </c>
      <c r="Y145" s="8" t="n"/>
      <c r="Z145" s="8" t="inlineStr">
        <is>
          <t>Not started</t>
        </is>
      </c>
      <c r="AA145" s="8" t="n"/>
      <c r="AB145" s="8" t="n"/>
      <c r="AC145" s="8" t="n"/>
      <c r="AD145" s="8" t="n"/>
      <c r="AE145" s="8" t="n"/>
      <c r="AF145" s="8" t="n"/>
      <c r="AG145" s="8" t="n"/>
      <c r="AH145" s="8" t="n"/>
      <c r="AI145" s="8" t="n"/>
      <c r="AJ145" s="8">
        <f>IF(OR(AH145="",'Submission &amp; QC'!$C$18=""),"",IF(AND(ABS(AH145-'Submission &amp; QC'!$C$18)&lt;=0.0005*ABS('Submission &amp; QC'!$C$18),ABS(AI145-'Submission &amp; QC'!$C$19)&lt;=0.0005*ABS('Submission &amp; QC'!$C$19)),"Pass","Fail"))</f>
        <v/>
      </c>
      <c r="AK145" s="8" t="n"/>
      <c r="AL145" s="8" t="n"/>
    </row>
    <row r="146" ht="195" customHeight="1">
      <c r="A146" s="3" t="inlineStr">
        <is>
          <t>B145</t>
        </is>
      </c>
      <c r="B146" s="9" t="inlineStr">
        <is>
          <t>B</t>
        </is>
      </c>
      <c r="C146" s="3" t="n">
        <v>1</v>
      </c>
      <c r="D146" s="3" t="inlineStr">
        <is>
          <t>Decommission</t>
        </is>
      </c>
      <c r="E146" s="3" t="inlineStr">
        <is>
          <t>DECOM-Region-Random-Full-Prop-Few</t>
        </is>
      </c>
      <c r="F146" s="3" t="inlineStr">
        <is>
          <t>Decommission: few: 1-10 removals, random first, full removal (100%; $50,000 + $1,000/m), freed area to natural habitats, proportionally, Whole model area</t>
        </is>
      </c>
      <c r="G146" s="3" t="inlineStr">
        <is>
          <t>Whole model area</t>
        </is>
      </c>
      <c r="H146" s="3" t="n"/>
      <c r="I146" s="3" t="n"/>
      <c r="J146" s="3" t="n"/>
      <c r="K146" s="3" t="n"/>
      <c r="L146" s="3" t="inlineStr">
        <is>
          <t>Random</t>
        </is>
      </c>
      <c r="M146" s="3" t="inlineStr">
        <is>
          <t>Full removal (100%; $50,000 + $1,000/m)</t>
        </is>
      </c>
      <c r="N146" s="3" t="inlineStr">
        <is>
          <t>Natural habitats, proportionally</t>
        </is>
      </c>
      <c r="O146" s="3" t="inlineStr">
        <is>
          <t>Few: 1-10 removals</t>
        </is>
      </c>
      <c r="P146" s="3" t="n"/>
      <c r="Q146" s="3" t="n"/>
      <c r="R146"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Random
Decommissioning &gt; Freed area becomes: Natural habitats, proportionally
Decommissioning &gt; Min removals: 1
Decommissioning &gt; Max removals: 10
Decommissioning &gt; Fraction of each structure removed: 1.0
Live solver / Search &gt; Number of scenarios to run: 100
Search &gt; Search algorithm: Random search
Search &gt; Random seed: 1,145</t>
        </is>
      </c>
      <c r="S146" s="3" t="inlineStr">
        <is>
          <t>B145_DECOM-Region-Random-Full-Prop-Few.json</t>
        </is>
      </c>
      <c r="T146" s="3" t="n">
        <v>100</v>
      </c>
      <c r="U146" s="3" t="n">
        <v>1145</v>
      </c>
      <c r="V146" s="3" t="n"/>
      <c r="W146" s="3" t="n">
        <v>314</v>
      </c>
      <c r="X146" s="3">
        <f>ROUND((T146+1)*'Read me'!$C$14/60,1)</f>
        <v/>
      </c>
      <c r="Y146" s="8" t="n"/>
      <c r="Z146" s="8" t="inlineStr">
        <is>
          <t>Not started</t>
        </is>
      </c>
      <c r="AA146" s="8" t="n"/>
      <c r="AB146" s="8" t="n"/>
      <c r="AC146" s="8" t="n"/>
      <c r="AD146" s="8" t="n"/>
      <c r="AE146" s="8" t="n"/>
      <c r="AF146" s="8" t="n"/>
      <c r="AG146" s="8" t="n"/>
      <c r="AH146" s="8" t="n"/>
      <c r="AI146" s="8" t="n"/>
      <c r="AJ146" s="8">
        <f>IF(OR(AH146="",'Submission &amp; QC'!$C$18=""),"",IF(AND(ABS(AH146-'Submission &amp; QC'!$C$18)&lt;=0.0005*ABS('Submission &amp; QC'!$C$18),ABS(AI146-'Submission &amp; QC'!$C$19)&lt;=0.0005*ABS('Submission &amp; QC'!$C$19)),"Pass","Fail"))</f>
        <v/>
      </c>
      <c r="AK146" s="8" t="n"/>
      <c r="AL146" s="8" t="n"/>
    </row>
    <row r="147" ht="195" customHeight="1">
      <c r="A147" s="3" t="inlineStr">
        <is>
          <t>B146</t>
        </is>
      </c>
      <c r="B147" s="9" t="inlineStr">
        <is>
          <t>B</t>
        </is>
      </c>
      <c r="C147" s="3" t="n">
        <v>1</v>
      </c>
      <c r="D147" s="3" t="inlineStr">
        <is>
          <t>Decommission</t>
        </is>
      </c>
      <c r="E147" s="3" t="inlineStr">
        <is>
          <t>DECOM-Region-Random-Full-Prop-Many</t>
        </is>
      </c>
      <c r="F147" s="3" t="inlineStr">
        <is>
          <t>Decommission: many: 11-50 removals, random first, full removal (100%; $50,000 + $1,000/m), freed area to natural habitats, proportionally, Whole model area</t>
        </is>
      </c>
      <c r="G147" s="3" t="inlineStr">
        <is>
          <t>Whole model area</t>
        </is>
      </c>
      <c r="H147" s="3" t="n"/>
      <c r="I147" s="3" t="n"/>
      <c r="J147" s="3" t="n"/>
      <c r="K147" s="3" t="n"/>
      <c r="L147" s="3" t="inlineStr">
        <is>
          <t>Random</t>
        </is>
      </c>
      <c r="M147" s="3" t="inlineStr">
        <is>
          <t>Full removal (100%; $50,000 + $1,000/m)</t>
        </is>
      </c>
      <c r="N147" s="3" t="inlineStr">
        <is>
          <t>Natural habitats, proportionally</t>
        </is>
      </c>
      <c r="O147" s="3" t="inlineStr">
        <is>
          <t>Many: 11-50 removals</t>
        </is>
      </c>
      <c r="P147" s="3" t="n"/>
      <c r="Q147" s="3" t="n"/>
      <c r="R147"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Random
Decommissioning &gt; Freed area becomes: Natural habitats, proportionally
Decommissioning &gt; Min removals: 11
Decommissioning &gt; Max removals: 50
Decommissioning &gt; Fraction of each structure removed: 1.0
Live solver / Search &gt; Number of scenarios to run: 100
Search &gt; Search algorithm: Random search
Search &gt; Random seed: 1,146</t>
        </is>
      </c>
      <c r="S147" s="3" t="inlineStr">
        <is>
          <t>B146_DECOM-Region-Random-Full-Prop-Many.json</t>
        </is>
      </c>
      <c r="T147" s="3" t="n">
        <v>100</v>
      </c>
      <c r="U147" s="3" t="n">
        <v>1146</v>
      </c>
      <c r="V147" s="3" t="n"/>
      <c r="W147" s="3" t="n">
        <v>314</v>
      </c>
      <c r="X147" s="3">
        <f>ROUND((T147+1)*'Read me'!$C$14/60,1)</f>
        <v/>
      </c>
      <c r="Y147" s="8" t="n"/>
      <c r="Z147" s="8" t="inlineStr">
        <is>
          <t>Not started</t>
        </is>
      </c>
      <c r="AA147" s="8" t="n"/>
      <c r="AB147" s="8" t="n"/>
      <c r="AC147" s="8" t="n"/>
      <c r="AD147" s="8" t="n"/>
      <c r="AE147" s="8" t="n"/>
      <c r="AF147" s="8" t="n"/>
      <c r="AG147" s="8" t="n"/>
      <c r="AH147" s="8" t="n"/>
      <c r="AI147" s="8" t="n"/>
      <c r="AJ147" s="8">
        <f>IF(OR(AH147="",'Submission &amp; QC'!$C$18=""),"",IF(AND(ABS(AH147-'Submission &amp; QC'!$C$18)&lt;=0.0005*ABS('Submission &amp; QC'!$C$18),ABS(AI147-'Submission &amp; QC'!$C$19)&lt;=0.0005*ABS('Submission &amp; QC'!$C$19)),"Pass","Fail"))</f>
        <v/>
      </c>
      <c r="AK147" s="8" t="n"/>
      <c r="AL147" s="8" t="n"/>
    </row>
    <row r="148" ht="195" customHeight="1">
      <c r="A148" s="3" t="inlineStr">
        <is>
          <t>B147</t>
        </is>
      </c>
      <c r="B148" s="9" t="inlineStr">
        <is>
          <t>B</t>
        </is>
      </c>
      <c r="C148" s="3" t="n">
        <v>2</v>
      </c>
      <c r="D148" s="3" t="inlineStr">
        <is>
          <t>Decommission</t>
        </is>
      </c>
      <c r="E148" s="3" t="inlineStr">
        <is>
          <t>DECOM-Region-Random-Full-Sand-Few</t>
        </is>
      </c>
      <c r="F148" s="3" t="inlineStr">
        <is>
          <t>Decommission: few: 1-10 removals, random first, full removal (100%; $50,000 + $1,000/m), freed area to sand, Whole model area</t>
        </is>
      </c>
      <c r="G148" s="3" t="inlineStr">
        <is>
          <t>Whole model area</t>
        </is>
      </c>
      <c r="H148" s="3" t="n"/>
      <c r="I148" s="3" t="n"/>
      <c r="J148" s="3" t="n"/>
      <c r="K148" s="3" t="n"/>
      <c r="L148" s="3" t="inlineStr">
        <is>
          <t>Random</t>
        </is>
      </c>
      <c r="M148" s="3" t="inlineStr">
        <is>
          <t>Full removal (100%; $50,000 + $1,000/m)</t>
        </is>
      </c>
      <c r="N148" s="3" t="inlineStr">
        <is>
          <t>Sand</t>
        </is>
      </c>
      <c r="O148" s="3" t="inlineStr">
        <is>
          <t>Few: 1-10 removals</t>
        </is>
      </c>
      <c r="P148" s="3" t="n"/>
      <c r="Q148" s="3" t="n"/>
      <c r="R148"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Random
Decommissioning &gt; Freed area becomes: sand
Decommissioning &gt; Min removals: 1
Decommissioning &gt; Max removals: 10
Decommissioning &gt; Fraction of each structure removed: 1.0
Live solver / Search &gt; Number of scenarios to run: 100
Search &gt; Search algorithm: Random search
Search &gt; Random seed: 1,147</t>
        </is>
      </c>
      <c r="S148" s="3" t="inlineStr">
        <is>
          <t>B147_DECOM-Region-Random-Full-Sand-Few.json</t>
        </is>
      </c>
      <c r="T148" s="3" t="n">
        <v>100</v>
      </c>
      <c r="U148" s="3" t="n">
        <v>1147</v>
      </c>
      <c r="V148" s="3" t="n"/>
      <c r="W148" s="3" t="n">
        <v>314</v>
      </c>
      <c r="X148" s="3">
        <f>ROUND((T148+1)*'Read me'!$C$14/60,1)</f>
        <v/>
      </c>
      <c r="Y148" s="8" t="n"/>
      <c r="Z148" s="8" t="inlineStr">
        <is>
          <t>Not started</t>
        </is>
      </c>
      <c r="AA148" s="8" t="n"/>
      <c r="AB148" s="8" t="n"/>
      <c r="AC148" s="8" t="n"/>
      <c r="AD148" s="8" t="n"/>
      <c r="AE148" s="8" t="n"/>
      <c r="AF148" s="8" t="n"/>
      <c r="AG148" s="8" t="n"/>
      <c r="AH148" s="8" t="n"/>
      <c r="AI148" s="8" t="n"/>
      <c r="AJ148" s="8">
        <f>IF(OR(AH148="",'Submission &amp; QC'!$C$18=""),"",IF(AND(ABS(AH148-'Submission &amp; QC'!$C$18)&lt;=0.0005*ABS('Submission &amp; QC'!$C$18),ABS(AI148-'Submission &amp; QC'!$C$19)&lt;=0.0005*ABS('Submission &amp; QC'!$C$19)),"Pass","Fail"))</f>
        <v/>
      </c>
      <c r="AK148" s="8" t="n"/>
      <c r="AL148" s="8" t="n"/>
    </row>
    <row r="149" ht="195" customHeight="1">
      <c r="A149" s="3" t="inlineStr">
        <is>
          <t>B148</t>
        </is>
      </c>
      <c r="B149" s="9" t="inlineStr">
        <is>
          <t>B</t>
        </is>
      </c>
      <c r="C149" s="3" t="n">
        <v>2</v>
      </c>
      <c r="D149" s="3" t="inlineStr">
        <is>
          <t>Decommission</t>
        </is>
      </c>
      <c r="E149" s="3" t="inlineStr">
        <is>
          <t>DECOM-Region-Random-Full-Sand-Many</t>
        </is>
      </c>
      <c r="F149" s="3" t="inlineStr">
        <is>
          <t>Decommission: many: 11-50 removals, random first, full removal (100%; $50,000 + $1,000/m), freed area to sand, Whole model area</t>
        </is>
      </c>
      <c r="G149" s="3" t="inlineStr">
        <is>
          <t>Whole model area</t>
        </is>
      </c>
      <c r="H149" s="3" t="n"/>
      <c r="I149" s="3" t="n"/>
      <c r="J149" s="3" t="n"/>
      <c r="K149" s="3" t="n"/>
      <c r="L149" s="3" t="inlineStr">
        <is>
          <t>Random</t>
        </is>
      </c>
      <c r="M149" s="3" t="inlineStr">
        <is>
          <t>Full removal (100%; $50,000 + $1,000/m)</t>
        </is>
      </c>
      <c r="N149" s="3" t="inlineStr">
        <is>
          <t>Sand</t>
        </is>
      </c>
      <c r="O149" s="3" t="inlineStr">
        <is>
          <t>Many: 11-50 removals</t>
        </is>
      </c>
      <c r="P149" s="3" t="n"/>
      <c r="Q149" s="3" t="n"/>
      <c r="R149"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Random
Decommissioning &gt; Freed area becomes: sand
Decommissioning &gt; Min removals: 11
Decommissioning &gt; Max removals: 50
Decommissioning &gt; Fraction of each structure removed: 1.0
Live solver / Search &gt; Number of scenarios to run: 100
Search &gt; Search algorithm: Random search
Search &gt; Random seed: 1,148</t>
        </is>
      </c>
      <c r="S149" s="3" t="inlineStr">
        <is>
          <t>B148_DECOM-Region-Random-Full-Sand-Many.json</t>
        </is>
      </c>
      <c r="T149" s="3" t="n">
        <v>100</v>
      </c>
      <c r="U149" s="3" t="n">
        <v>1148</v>
      </c>
      <c r="V149" s="3" t="n"/>
      <c r="W149" s="3" t="n">
        <v>314</v>
      </c>
      <c r="X149" s="3">
        <f>ROUND((T149+1)*'Read me'!$C$14/60,1)</f>
        <v/>
      </c>
      <c r="Y149" s="8" t="n"/>
      <c r="Z149" s="8" t="inlineStr">
        <is>
          <t>Not started</t>
        </is>
      </c>
      <c r="AA149" s="8" t="n"/>
      <c r="AB149" s="8" t="n"/>
      <c r="AC149" s="8" t="n"/>
      <c r="AD149" s="8" t="n"/>
      <c r="AE149" s="8" t="n"/>
      <c r="AF149" s="8" t="n"/>
      <c r="AG149" s="8" t="n"/>
      <c r="AH149" s="8" t="n"/>
      <c r="AI149" s="8" t="n"/>
      <c r="AJ149" s="8">
        <f>IF(OR(AH149="",'Submission &amp; QC'!$C$18=""),"",IF(AND(ABS(AH149-'Submission &amp; QC'!$C$18)&lt;=0.0005*ABS('Submission &amp; QC'!$C$18),ABS(AI149-'Submission &amp; QC'!$C$19)&lt;=0.0005*ABS('Submission &amp; QC'!$C$19)),"Pass","Fail"))</f>
        <v/>
      </c>
      <c r="AK149" s="8" t="n"/>
      <c r="AL149" s="8" t="n"/>
    </row>
    <row r="150" ht="195" customHeight="1">
      <c r="A150" s="3" t="inlineStr">
        <is>
          <t>B149</t>
        </is>
      </c>
      <c r="B150" s="9" t="inlineStr">
        <is>
          <t>B</t>
        </is>
      </c>
      <c r="C150" s="3" t="n">
        <v>1</v>
      </c>
      <c r="D150" s="3" t="inlineStr">
        <is>
          <t>Decommission</t>
        </is>
      </c>
      <c r="E150" s="3" t="inlineStr">
        <is>
          <t>DECOM-Region-Random-Partial-Prop-Few</t>
        </is>
      </c>
      <c r="F150" s="3" t="inlineStr">
        <is>
          <t>Decommission: few: 1-10 removals, random first, partial removal / toppling (50%; $30,000 + $600/m), freed area to natural habitats, proportionally, Whole model area</t>
        </is>
      </c>
      <c r="G150" s="3" t="inlineStr">
        <is>
          <t>Whole model area</t>
        </is>
      </c>
      <c r="H150" s="3" t="n"/>
      <c r="I150" s="3" t="n"/>
      <c r="J150" s="3" t="n"/>
      <c r="K150" s="3" t="n"/>
      <c r="L150" s="3" t="inlineStr">
        <is>
          <t>Random</t>
        </is>
      </c>
      <c r="M150" s="3" t="inlineStr">
        <is>
          <t>Partial removal / toppling (50%; $30,000 + $600/m)</t>
        </is>
      </c>
      <c r="N150" s="3" t="inlineStr">
        <is>
          <t>Natural habitats, proportionally</t>
        </is>
      </c>
      <c r="O150" s="3" t="inlineStr">
        <is>
          <t>Few: 1-10 removals</t>
        </is>
      </c>
      <c r="P150" s="3" t="n"/>
      <c r="Q150" s="3" t="n"/>
      <c r="R150"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Random
Decommissioning &gt; Freed area becomes: Natural habitats, proportionally
Decommissioning &gt; Min removals: 1
Decommissioning &gt; Max removals: 10
Decommissioning &gt; Fraction of each structure removed: 0.5
Live solver / Search &gt; Number of scenarios to run: 100
Search &gt; Search algorithm: Random search
Search &gt; Random seed: 1,149</t>
        </is>
      </c>
      <c r="S150" s="3" t="inlineStr">
        <is>
          <t>B149_DECOM-Region-Random-Partial-Prop-Few.json</t>
        </is>
      </c>
      <c r="T150" s="3" t="n">
        <v>100</v>
      </c>
      <c r="U150" s="3" t="n">
        <v>1149</v>
      </c>
      <c r="V150" s="3" t="n"/>
      <c r="W150" s="3" t="n">
        <v>314</v>
      </c>
      <c r="X150" s="3">
        <f>ROUND((T150+1)*'Read me'!$C$14/60,1)</f>
        <v/>
      </c>
      <c r="Y150" s="8" t="n"/>
      <c r="Z150" s="8" t="inlineStr">
        <is>
          <t>Not started</t>
        </is>
      </c>
      <c r="AA150" s="8" t="n"/>
      <c r="AB150" s="8" t="n"/>
      <c r="AC150" s="8" t="n"/>
      <c r="AD150" s="8" t="n"/>
      <c r="AE150" s="8" t="n"/>
      <c r="AF150" s="8" t="n"/>
      <c r="AG150" s="8" t="n"/>
      <c r="AH150" s="8" t="n"/>
      <c r="AI150" s="8" t="n"/>
      <c r="AJ150" s="8">
        <f>IF(OR(AH150="",'Submission &amp; QC'!$C$18=""),"",IF(AND(ABS(AH150-'Submission &amp; QC'!$C$18)&lt;=0.0005*ABS('Submission &amp; QC'!$C$18),ABS(AI150-'Submission &amp; QC'!$C$19)&lt;=0.0005*ABS('Submission &amp; QC'!$C$19)),"Pass","Fail"))</f>
        <v/>
      </c>
      <c r="AK150" s="8" t="n"/>
      <c r="AL150" s="8" t="n"/>
    </row>
    <row r="151" ht="195" customHeight="1">
      <c r="A151" s="3" t="inlineStr">
        <is>
          <t>B150</t>
        </is>
      </c>
      <c r="B151" s="9" t="inlineStr">
        <is>
          <t>B</t>
        </is>
      </c>
      <c r="C151" s="3" t="n">
        <v>1</v>
      </c>
      <c r="D151" s="3" t="inlineStr">
        <is>
          <t>Decommission</t>
        </is>
      </c>
      <c r="E151" s="3" t="inlineStr">
        <is>
          <t>DECOM-Region-Random-Partial-Prop-Many</t>
        </is>
      </c>
      <c r="F151" s="3" t="inlineStr">
        <is>
          <t>Decommission: many: 11-50 removals, random first, partial removal / toppling (50%; $30,000 + $600/m), freed area to natural habitats, proportionally, Whole model area</t>
        </is>
      </c>
      <c r="G151" s="3" t="inlineStr">
        <is>
          <t>Whole model area</t>
        </is>
      </c>
      <c r="H151" s="3" t="n"/>
      <c r="I151" s="3" t="n"/>
      <c r="J151" s="3" t="n"/>
      <c r="K151" s="3" t="n"/>
      <c r="L151" s="3" t="inlineStr">
        <is>
          <t>Random</t>
        </is>
      </c>
      <c r="M151" s="3" t="inlineStr">
        <is>
          <t>Partial removal / toppling (50%; $30,000 + $600/m)</t>
        </is>
      </c>
      <c r="N151" s="3" t="inlineStr">
        <is>
          <t>Natural habitats, proportionally</t>
        </is>
      </c>
      <c r="O151" s="3" t="inlineStr">
        <is>
          <t>Many: 11-50 removals</t>
        </is>
      </c>
      <c r="P151" s="3" t="n"/>
      <c r="Q151" s="3" t="n"/>
      <c r="R151"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Random
Decommissioning &gt; Freed area becomes: Natural habitats, proportionally
Decommissioning &gt; Min removals: 11
Decommissioning &gt; Max removals: 50
Decommissioning &gt; Fraction of each structure removed: 0.5
Live solver / Search &gt; Number of scenarios to run: 100
Search &gt; Search algorithm: Random search
Search &gt; Random seed: 1,150</t>
        </is>
      </c>
      <c r="S151" s="3" t="inlineStr">
        <is>
          <t>B150_DECOM-Region-Random-Partial-Prop-Many.json</t>
        </is>
      </c>
      <c r="T151" s="3" t="n">
        <v>100</v>
      </c>
      <c r="U151" s="3" t="n">
        <v>1150</v>
      </c>
      <c r="V151" s="3" t="n"/>
      <c r="W151" s="3" t="n">
        <v>314</v>
      </c>
      <c r="X151" s="3">
        <f>ROUND((T151+1)*'Read me'!$C$14/60,1)</f>
        <v/>
      </c>
      <c r="Y151" s="8" t="n"/>
      <c r="Z151" s="8" t="inlineStr">
        <is>
          <t>Not started</t>
        </is>
      </c>
      <c r="AA151" s="8" t="n"/>
      <c r="AB151" s="8" t="n"/>
      <c r="AC151" s="8" t="n"/>
      <c r="AD151" s="8" t="n"/>
      <c r="AE151" s="8" t="n"/>
      <c r="AF151" s="8" t="n"/>
      <c r="AG151" s="8" t="n"/>
      <c r="AH151" s="8" t="n"/>
      <c r="AI151" s="8" t="n"/>
      <c r="AJ151" s="8">
        <f>IF(OR(AH151="",'Submission &amp; QC'!$C$18=""),"",IF(AND(ABS(AH151-'Submission &amp; QC'!$C$18)&lt;=0.0005*ABS('Submission &amp; QC'!$C$18),ABS(AI151-'Submission &amp; QC'!$C$19)&lt;=0.0005*ABS('Submission &amp; QC'!$C$19)),"Pass","Fail"))</f>
        <v/>
      </c>
      <c r="AK151" s="8" t="n"/>
      <c r="AL151" s="8" t="n"/>
    </row>
    <row r="152" ht="195" customHeight="1">
      <c r="A152" s="3" t="inlineStr">
        <is>
          <t>B151</t>
        </is>
      </c>
      <c r="B152" s="9" t="inlineStr">
        <is>
          <t>B</t>
        </is>
      </c>
      <c r="C152" s="3" t="n">
        <v>2</v>
      </c>
      <c r="D152" s="3" t="inlineStr">
        <is>
          <t>Decommission</t>
        </is>
      </c>
      <c r="E152" s="3" t="inlineStr">
        <is>
          <t>DECOM-Region-Random-Partial-Sand-Few</t>
        </is>
      </c>
      <c r="F152" s="3" t="inlineStr">
        <is>
          <t>Decommission: few: 1-10 removals, random first, partial removal / toppling (50%; $30,000 + $600/m), freed area to sand, Whole model area</t>
        </is>
      </c>
      <c r="G152" s="3" t="inlineStr">
        <is>
          <t>Whole model area</t>
        </is>
      </c>
      <c r="H152" s="3" t="n"/>
      <c r="I152" s="3" t="n"/>
      <c r="J152" s="3" t="n"/>
      <c r="K152" s="3" t="n"/>
      <c r="L152" s="3" t="inlineStr">
        <is>
          <t>Random</t>
        </is>
      </c>
      <c r="M152" s="3" t="inlineStr">
        <is>
          <t>Partial removal / toppling (50%; $30,000 + $600/m)</t>
        </is>
      </c>
      <c r="N152" s="3" t="inlineStr">
        <is>
          <t>Sand</t>
        </is>
      </c>
      <c r="O152" s="3" t="inlineStr">
        <is>
          <t>Few: 1-10 removals</t>
        </is>
      </c>
      <c r="P152" s="3" t="n"/>
      <c r="Q152" s="3" t="n"/>
      <c r="R152"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Random
Decommissioning &gt; Freed area becomes: sand
Decommissioning &gt; Min removals: 1
Decommissioning &gt; Max removals: 10
Decommissioning &gt; Fraction of each structure removed: 0.5
Live solver / Search &gt; Number of scenarios to run: 100
Search &gt; Search algorithm: Random search
Search &gt; Random seed: 1,151</t>
        </is>
      </c>
      <c r="S152" s="3" t="inlineStr">
        <is>
          <t>B151_DECOM-Region-Random-Partial-Sand-Few.json</t>
        </is>
      </c>
      <c r="T152" s="3" t="n">
        <v>100</v>
      </c>
      <c r="U152" s="3" t="n">
        <v>1151</v>
      </c>
      <c r="V152" s="3" t="n"/>
      <c r="W152" s="3" t="n">
        <v>314</v>
      </c>
      <c r="X152" s="3">
        <f>ROUND((T152+1)*'Read me'!$C$14/60,1)</f>
        <v/>
      </c>
      <c r="Y152" s="8" t="n"/>
      <c r="Z152" s="8" t="inlineStr">
        <is>
          <t>Not started</t>
        </is>
      </c>
      <c r="AA152" s="8" t="n"/>
      <c r="AB152" s="8" t="n"/>
      <c r="AC152" s="8" t="n"/>
      <c r="AD152" s="8" t="n"/>
      <c r="AE152" s="8" t="n"/>
      <c r="AF152" s="8" t="n"/>
      <c r="AG152" s="8" t="n"/>
      <c r="AH152" s="8" t="n"/>
      <c r="AI152" s="8" t="n"/>
      <c r="AJ152" s="8">
        <f>IF(OR(AH152="",'Submission &amp; QC'!$C$18=""),"",IF(AND(ABS(AH152-'Submission &amp; QC'!$C$18)&lt;=0.0005*ABS('Submission &amp; QC'!$C$18),ABS(AI152-'Submission &amp; QC'!$C$19)&lt;=0.0005*ABS('Submission &amp; QC'!$C$19)),"Pass","Fail"))</f>
        <v/>
      </c>
      <c r="AK152" s="8" t="n"/>
      <c r="AL152" s="8" t="n"/>
    </row>
    <row r="153" ht="195" customHeight="1">
      <c r="A153" s="3" t="inlineStr">
        <is>
          <t>B152</t>
        </is>
      </c>
      <c r="B153" s="9" t="inlineStr">
        <is>
          <t>B</t>
        </is>
      </c>
      <c r="C153" s="3" t="n">
        <v>2</v>
      </c>
      <c r="D153" s="3" t="inlineStr">
        <is>
          <t>Decommission</t>
        </is>
      </c>
      <c r="E153" s="3" t="inlineStr">
        <is>
          <t>DECOM-Region-Random-Partial-Sand-Many</t>
        </is>
      </c>
      <c r="F153" s="3" t="inlineStr">
        <is>
          <t>Decommission: many: 11-50 removals, random first, partial removal / toppling (50%; $30,000 + $600/m), freed area to sand, Whole model area</t>
        </is>
      </c>
      <c r="G153" s="3" t="inlineStr">
        <is>
          <t>Whole model area</t>
        </is>
      </c>
      <c r="H153" s="3" t="n"/>
      <c r="I153" s="3" t="n"/>
      <c r="J153" s="3" t="n"/>
      <c r="K153" s="3" t="n"/>
      <c r="L153" s="3" t="inlineStr">
        <is>
          <t>Random</t>
        </is>
      </c>
      <c r="M153" s="3" t="inlineStr">
        <is>
          <t>Partial removal / toppling (50%; $30,000 + $600/m)</t>
        </is>
      </c>
      <c r="N153" s="3" t="inlineStr">
        <is>
          <t>Sand</t>
        </is>
      </c>
      <c r="O153" s="3" t="inlineStr">
        <is>
          <t>Many: 11-50 removals</t>
        </is>
      </c>
      <c r="P153" s="3" t="n"/>
      <c r="Q153" s="3" t="n"/>
      <c r="R153"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Random
Decommissioning &gt; Freed area becomes: sand
Decommissioning &gt; Min removals: 11
Decommissioning &gt; Max removals: 50
Decommissioning &gt; Fraction of each structure removed: 0.5
Live solver / Search &gt; Number of scenarios to run: 100
Search &gt; Search algorithm: Random search
Search &gt; Random seed: 1,152</t>
        </is>
      </c>
      <c r="S153" s="3" t="inlineStr">
        <is>
          <t>B152_DECOM-Region-Random-Partial-Sand-Many.json</t>
        </is>
      </c>
      <c r="T153" s="3" t="n">
        <v>100</v>
      </c>
      <c r="U153" s="3" t="n">
        <v>1152</v>
      </c>
      <c r="V153" s="3" t="n"/>
      <c r="W153" s="3" t="n">
        <v>314</v>
      </c>
      <c r="X153" s="3">
        <f>ROUND((T153+1)*'Read me'!$C$14/60,1)</f>
        <v/>
      </c>
      <c r="Y153" s="8" t="n"/>
      <c r="Z153" s="8" t="inlineStr">
        <is>
          <t>Not started</t>
        </is>
      </c>
      <c r="AA153" s="8" t="n"/>
      <c r="AB153" s="8" t="n"/>
      <c r="AC153" s="8" t="n"/>
      <c r="AD153" s="8" t="n"/>
      <c r="AE153" s="8" t="n"/>
      <c r="AF153" s="8" t="n"/>
      <c r="AG153" s="8" t="n"/>
      <c r="AH153" s="8" t="n"/>
      <c r="AI153" s="8" t="n"/>
      <c r="AJ153" s="8">
        <f>IF(OR(AH153="",'Submission &amp; QC'!$C$18=""),"",IF(AND(ABS(AH153-'Submission &amp; QC'!$C$18)&lt;=0.0005*ABS('Submission &amp; QC'!$C$18),ABS(AI153-'Submission &amp; QC'!$C$19)&lt;=0.0005*ABS('Submission &amp; QC'!$C$19)),"Pass","Fail"))</f>
        <v/>
      </c>
      <c r="AK153" s="8" t="n"/>
      <c r="AL153" s="8" t="n"/>
    </row>
    <row r="154" ht="195" customHeight="1">
      <c r="A154" s="3" t="inlineStr">
        <is>
          <t>B153</t>
        </is>
      </c>
      <c r="B154" s="9" t="inlineStr">
        <is>
          <t>B</t>
        </is>
      </c>
      <c r="C154" s="3" t="n">
        <v>1</v>
      </c>
      <c r="D154" s="3" t="inlineStr">
        <is>
          <t>Decommission</t>
        </is>
      </c>
      <c r="E154" s="3" t="inlineStr">
        <is>
          <t>DECOM-Region-Shallowest-Full-Prop-Few</t>
        </is>
      </c>
      <c r="F154" s="3" t="inlineStr">
        <is>
          <t>Decommission: few: 1-10 removals, shallowest first, full removal (100%; $50,000 + $1,000/m), freed area to natural habitats, proportionally, Whole model area</t>
        </is>
      </c>
      <c r="G154" s="3" t="inlineStr">
        <is>
          <t>Whole model area</t>
        </is>
      </c>
      <c r="H154" s="3" t="n"/>
      <c r="I154" s="3" t="n"/>
      <c r="J154" s="3" t="n"/>
      <c r="K154" s="3" t="n"/>
      <c r="L154" s="3" t="inlineStr">
        <is>
          <t>Shallowest</t>
        </is>
      </c>
      <c r="M154" s="3" t="inlineStr">
        <is>
          <t>Full removal (100%; $50,000 + $1,000/m)</t>
        </is>
      </c>
      <c r="N154" s="3" t="inlineStr">
        <is>
          <t>Natural habitats, proportionally</t>
        </is>
      </c>
      <c r="O154" s="3" t="inlineStr">
        <is>
          <t>Few: 1-10 removals</t>
        </is>
      </c>
      <c r="P154" s="3" t="n"/>
      <c r="Q154" s="3" t="n"/>
      <c r="R154"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Prefer shallowest
Decommissioning &gt; Freed area becomes: Natural habitats, proportionally
Decommissioning &gt; Min removals: 1
Decommissioning &gt; Max removals: 10
Decommissioning &gt; Fraction of each structure removed: 1.0
Live solver / Search &gt; Number of scenarios to run: 100
Search &gt; Search algorithm: Random search
Search &gt; Random seed: 1,153</t>
        </is>
      </c>
      <c r="S154" s="3" t="inlineStr">
        <is>
          <t>B153_DECOM-Region-Shallowest-Full-Prop-Few.json</t>
        </is>
      </c>
      <c r="T154" s="3" t="n">
        <v>100</v>
      </c>
      <c r="U154" s="3" t="n">
        <v>1153</v>
      </c>
      <c r="V154" s="3" t="n"/>
      <c r="W154" s="3" t="n">
        <v>314</v>
      </c>
      <c r="X154" s="3">
        <f>ROUND((T154+1)*'Read me'!$C$14/60,1)</f>
        <v/>
      </c>
      <c r="Y154" s="8" t="n"/>
      <c r="Z154" s="8" t="inlineStr">
        <is>
          <t>Not started</t>
        </is>
      </c>
      <c r="AA154" s="8" t="n"/>
      <c r="AB154" s="8" t="n"/>
      <c r="AC154" s="8" t="n"/>
      <c r="AD154" s="8" t="n"/>
      <c r="AE154" s="8" t="n"/>
      <c r="AF154" s="8" t="n"/>
      <c r="AG154" s="8" t="n"/>
      <c r="AH154" s="8" t="n"/>
      <c r="AI154" s="8" t="n"/>
      <c r="AJ154" s="8">
        <f>IF(OR(AH154="",'Submission &amp; QC'!$C$18=""),"",IF(AND(ABS(AH154-'Submission &amp; QC'!$C$18)&lt;=0.0005*ABS('Submission &amp; QC'!$C$18),ABS(AI154-'Submission &amp; QC'!$C$19)&lt;=0.0005*ABS('Submission &amp; QC'!$C$19)),"Pass","Fail"))</f>
        <v/>
      </c>
      <c r="AK154" s="8" t="n"/>
      <c r="AL154" s="8" t="n"/>
    </row>
    <row r="155" ht="195" customHeight="1">
      <c r="A155" s="3" t="inlineStr">
        <is>
          <t>B154</t>
        </is>
      </c>
      <c r="B155" s="9" t="inlineStr">
        <is>
          <t>B</t>
        </is>
      </c>
      <c r="C155" s="3" t="n">
        <v>1</v>
      </c>
      <c r="D155" s="3" t="inlineStr">
        <is>
          <t>Decommission</t>
        </is>
      </c>
      <c r="E155" s="3" t="inlineStr">
        <is>
          <t>DECOM-Region-Shallowest-Full-Prop-Many</t>
        </is>
      </c>
      <c r="F155" s="3" t="inlineStr">
        <is>
          <t>Decommission: many: 11-50 removals, shallowest first, full removal (100%; $50,000 + $1,000/m), freed area to natural habitats, proportionally, Whole model area</t>
        </is>
      </c>
      <c r="G155" s="3" t="inlineStr">
        <is>
          <t>Whole model area</t>
        </is>
      </c>
      <c r="H155" s="3" t="n"/>
      <c r="I155" s="3" t="n"/>
      <c r="J155" s="3" t="n"/>
      <c r="K155" s="3" t="n"/>
      <c r="L155" s="3" t="inlineStr">
        <is>
          <t>Shallowest</t>
        </is>
      </c>
      <c r="M155" s="3" t="inlineStr">
        <is>
          <t>Full removal (100%; $50,000 + $1,000/m)</t>
        </is>
      </c>
      <c r="N155" s="3" t="inlineStr">
        <is>
          <t>Natural habitats, proportionally</t>
        </is>
      </c>
      <c r="O155" s="3" t="inlineStr">
        <is>
          <t>Many: 11-50 removals</t>
        </is>
      </c>
      <c r="P155" s="3" t="n"/>
      <c r="Q155" s="3" t="n"/>
      <c r="R155"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Prefer shallowest
Decommissioning &gt; Freed area becomes: Natural habitats, proportionally
Decommissioning &gt; Min removals: 11
Decommissioning &gt; Max removals: 50
Decommissioning &gt; Fraction of each structure removed: 1.0
Live solver / Search &gt; Number of scenarios to run: 100
Search &gt; Search algorithm: Random search
Search &gt; Random seed: 1,154</t>
        </is>
      </c>
      <c r="S155" s="3" t="inlineStr">
        <is>
          <t>B154_DECOM-Region-Shallowest-Full-Prop-Many.json</t>
        </is>
      </c>
      <c r="T155" s="3" t="n">
        <v>100</v>
      </c>
      <c r="U155" s="3" t="n">
        <v>1154</v>
      </c>
      <c r="V155" s="3" t="n"/>
      <c r="W155" s="3" t="n">
        <v>314</v>
      </c>
      <c r="X155" s="3">
        <f>ROUND((T155+1)*'Read me'!$C$14/60,1)</f>
        <v/>
      </c>
      <c r="Y155" s="8" t="n"/>
      <c r="Z155" s="8" t="inlineStr">
        <is>
          <t>Not started</t>
        </is>
      </c>
      <c r="AA155" s="8" t="n"/>
      <c r="AB155" s="8" t="n"/>
      <c r="AC155" s="8" t="n"/>
      <c r="AD155" s="8" t="n"/>
      <c r="AE155" s="8" t="n"/>
      <c r="AF155" s="8" t="n"/>
      <c r="AG155" s="8" t="n"/>
      <c r="AH155" s="8" t="n"/>
      <c r="AI155" s="8" t="n"/>
      <c r="AJ155" s="8">
        <f>IF(OR(AH155="",'Submission &amp; QC'!$C$18=""),"",IF(AND(ABS(AH155-'Submission &amp; QC'!$C$18)&lt;=0.0005*ABS('Submission &amp; QC'!$C$18),ABS(AI155-'Submission &amp; QC'!$C$19)&lt;=0.0005*ABS('Submission &amp; QC'!$C$19)),"Pass","Fail"))</f>
        <v/>
      </c>
      <c r="AK155" s="8" t="n"/>
      <c r="AL155" s="8" t="n"/>
    </row>
    <row r="156" ht="195" customHeight="1">
      <c r="A156" s="3" t="inlineStr">
        <is>
          <t>B155</t>
        </is>
      </c>
      <c r="B156" s="9" t="inlineStr">
        <is>
          <t>B</t>
        </is>
      </c>
      <c r="C156" s="3" t="n">
        <v>2</v>
      </c>
      <c r="D156" s="3" t="inlineStr">
        <is>
          <t>Decommission</t>
        </is>
      </c>
      <c r="E156" s="3" t="inlineStr">
        <is>
          <t>DECOM-Region-Shallowest-Full-Sand-Few</t>
        </is>
      </c>
      <c r="F156" s="3" t="inlineStr">
        <is>
          <t>Decommission: few: 1-10 removals, shallowest first, full removal (100%; $50,000 + $1,000/m), freed area to sand, Whole model area</t>
        </is>
      </c>
      <c r="G156" s="3" t="inlineStr">
        <is>
          <t>Whole model area</t>
        </is>
      </c>
      <c r="H156" s="3" t="n"/>
      <c r="I156" s="3" t="n"/>
      <c r="J156" s="3" t="n"/>
      <c r="K156" s="3" t="n"/>
      <c r="L156" s="3" t="inlineStr">
        <is>
          <t>Shallowest</t>
        </is>
      </c>
      <c r="M156" s="3" t="inlineStr">
        <is>
          <t>Full removal (100%; $50,000 + $1,000/m)</t>
        </is>
      </c>
      <c r="N156" s="3" t="inlineStr">
        <is>
          <t>Sand</t>
        </is>
      </c>
      <c r="O156" s="3" t="inlineStr">
        <is>
          <t>Few: 1-10 removals</t>
        </is>
      </c>
      <c r="P156" s="3" t="n"/>
      <c r="Q156" s="3" t="n"/>
      <c r="R156"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Prefer shallowest
Decommissioning &gt; Freed area becomes: sand
Decommissioning &gt; Min removals: 1
Decommissioning &gt; Max removals: 10
Decommissioning &gt; Fraction of each structure removed: 1.0
Live solver / Search &gt; Number of scenarios to run: 100
Search &gt; Search algorithm: Random search
Search &gt; Random seed: 1,155</t>
        </is>
      </c>
      <c r="S156" s="3" t="inlineStr">
        <is>
          <t>B155_DECOM-Region-Shallowest-Full-Sand-Few.json</t>
        </is>
      </c>
      <c r="T156" s="3" t="n">
        <v>100</v>
      </c>
      <c r="U156" s="3" t="n">
        <v>1155</v>
      </c>
      <c r="V156" s="3" t="n"/>
      <c r="W156" s="3" t="n">
        <v>314</v>
      </c>
      <c r="X156" s="3">
        <f>ROUND((T156+1)*'Read me'!$C$14/60,1)</f>
        <v/>
      </c>
      <c r="Y156" s="8" t="n"/>
      <c r="Z156" s="8" t="inlineStr">
        <is>
          <t>Not started</t>
        </is>
      </c>
      <c r="AA156" s="8" t="n"/>
      <c r="AB156" s="8" t="n"/>
      <c r="AC156" s="8" t="n"/>
      <c r="AD156" s="8" t="n"/>
      <c r="AE156" s="8" t="n"/>
      <c r="AF156" s="8" t="n"/>
      <c r="AG156" s="8" t="n"/>
      <c r="AH156" s="8" t="n"/>
      <c r="AI156" s="8" t="n"/>
      <c r="AJ156" s="8">
        <f>IF(OR(AH156="",'Submission &amp; QC'!$C$18=""),"",IF(AND(ABS(AH156-'Submission &amp; QC'!$C$18)&lt;=0.0005*ABS('Submission &amp; QC'!$C$18),ABS(AI156-'Submission &amp; QC'!$C$19)&lt;=0.0005*ABS('Submission &amp; QC'!$C$19)),"Pass","Fail"))</f>
        <v/>
      </c>
      <c r="AK156" s="8" t="n"/>
      <c r="AL156" s="8" t="n"/>
    </row>
    <row r="157" ht="195" customHeight="1">
      <c r="A157" s="3" t="inlineStr">
        <is>
          <t>B156</t>
        </is>
      </c>
      <c r="B157" s="9" t="inlineStr">
        <is>
          <t>B</t>
        </is>
      </c>
      <c r="C157" s="3" t="n">
        <v>2</v>
      </c>
      <c r="D157" s="3" t="inlineStr">
        <is>
          <t>Decommission</t>
        </is>
      </c>
      <c r="E157" s="3" t="inlineStr">
        <is>
          <t>DECOM-Region-Shallowest-Full-Sand-Many</t>
        </is>
      </c>
      <c r="F157" s="3" t="inlineStr">
        <is>
          <t>Decommission: many: 11-50 removals, shallowest first, full removal (100%; $50,000 + $1,000/m), freed area to sand, Whole model area</t>
        </is>
      </c>
      <c r="G157" s="3" t="inlineStr">
        <is>
          <t>Whole model area</t>
        </is>
      </c>
      <c r="H157" s="3" t="n"/>
      <c r="I157" s="3" t="n"/>
      <c r="J157" s="3" t="n"/>
      <c r="K157" s="3" t="n"/>
      <c r="L157" s="3" t="inlineStr">
        <is>
          <t>Shallowest</t>
        </is>
      </c>
      <c r="M157" s="3" t="inlineStr">
        <is>
          <t>Full removal (100%; $50,000 + $1,000/m)</t>
        </is>
      </c>
      <c r="N157" s="3" t="inlineStr">
        <is>
          <t>Sand</t>
        </is>
      </c>
      <c r="O157" s="3" t="inlineStr">
        <is>
          <t>Many: 11-50 removals</t>
        </is>
      </c>
      <c r="P157" s="3" t="n"/>
      <c r="Q157" s="3" t="n"/>
      <c r="R157"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Prefer shallowest
Decommissioning &gt; Freed area becomes: sand
Decommissioning &gt; Min removals: 11
Decommissioning &gt; Max removals: 50
Decommissioning &gt; Fraction of each structure removed: 1.0
Live solver / Search &gt; Number of scenarios to run: 100
Search &gt; Search algorithm: Random search
Search &gt; Random seed: 1,156</t>
        </is>
      </c>
      <c r="S157" s="3" t="inlineStr">
        <is>
          <t>B156_DECOM-Region-Shallowest-Full-Sand-Many.json</t>
        </is>
      </c>
      <c r="T157" s="3" t="n">
        <v>100</v>
      </c>
      <c r="U157" s="3" t="n">
        <v>1156</v>
      </c>
      <c r="V157" s="3" t="n"/>
      <c r="W157" s="3" t="n">
        <v>314</v>
      </c>
      <c r="X157" s="3">
        <f>ROUND((T157+1)*'Read me'!$C$14/60,1)</f>
        <v/>
      </c>
      <c r="Y157" s="8" t="n"/>
      <c r="Z157" s="8" t="inlineStr">
        <is>
          <t>Not started</t>
        </is>
      </c>
      <c r="AA157" s="8" t="n"/>
      <c r="AB157" s="8" t="n"/>
      <c r="AC157" s="8" t="n"/>
      <c r="AD157" s="8" t="n"/>
      <c r="AE157" s="8" t="n"/>
      <c r="AF157" s="8" t="n"/>
      <c r="AG157" s="8" t="n"/>
      <c r="AH157" s="8" t="n"/>
      <c r="AI157" s="8" t="n"/>
      <c r="AJ157" s="8">
        <f>IF(OR(AH157="",'Submission &amp; QC'!$C$18=""),"",IF(AND(ABS(AH157-'Submission &amp; QC'!$C$18)&lt;=0.0005*ABS('Submission &amp; QC'!$C$18),ABS(AI157-'Submission &amp; QC'!$C$19)&lt;=0.0005*ABS('Submission &amp; QC'!$C$19)),"Pass","Fail"))</f>
        <v/>
      </c>
      <c r="AK157" s="8" t="n"/>
      <c r="AL157" s="8" t="n"/>
    </row>
    <row r="158" ht="195" customHeight="1">
      <c r="A158" s="3" t="inlineStr">
        <is>
          <t>B157</t>
        </is>
      </c>
      <c r="B158" s="9" t="inlineStr">
        <is>
          <t>B</t>
        </is>
      </c>
      <c r="C158" s="3" t="n">
        <v>1</v>
      </c>
      <c r="D158" s="3" t="inlineStr">
        <is>
          <t>Decommission</t>
        </is>
      </c>
      <c r="E158" s="3" t="inlineStr">
        <is>
          <t>DECOM-Region-Shallowest-Partial-Prop-Few</t>
        </is>
      </c>
      <c r="F158" s="3" t="inlineStr">
        <is>
          <t>Decommission: few: 1-10 removals, shallowest first, partial removal / toppling (50%; $30,000 + $600/m), freed area to natural habitats, proportionally, Whole model area</t>
        </is>
      </c>
      <c r="G158" s="3" t="inlineStr">
        <is>
          <t>Whole model area</t>
        </is>
      </c>
      <c r="H158" s="3" t="n"/>
      <c r="I158" s="3" t="n"/>
      <c r="J158" s="3" t="n"/>
      <c r="K158" s="3" t="n"/>
      <c r="L158" s="3" t="inlineStr">
        <is>
          <t>Shallowest</t>
        </is>
      </c>
      <c r="M158" s="3" t="inlineStr">
        <is>
          <t>Partial removal / toppling (50%; $30,000 + $600/m)</t>
        </is>
      </c>
      <c r="N158" s="3" t="inlineStr">
        <is>
          <t>Natural habitats, proportionally</t>
        </is>
      </c>
      <c r="O158" s="3" t="inlineStr">
        <is>
          <t>Few: 1-10 removals</t>
        </is>
      </c>
      <c r="P158" s="3" t="n"/>
      <c r="Q158" s="3" t="n"/>
      <c r="R158"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Prefer shallowest
Decommissioning &gt; Freed area becomes: Natural habitats, proportionally
Decommissioning &gt; Min removals: 1
Decommissioning &gt; Max removals: 10
Decommissioning &gt; Fraction of each structure removed: 0.5
Live solver / Search &gt; Number of scenarios to run: 100
Search &gt; Search algorithm: Random search
Search &gt; Random seed: 1,157</t>
        </is>
      </c>
      <c r="S158" s="3" t="inlineStr">
        <is>
          <t>B157_DECOM-Region-Shallowest-Partial-Prop-Few.json</t>
        </is>
      </c>
      <c r="T158" s="3" t="n">
        <v>100</v>
      </c>
      <c r="U158" s="3" t="n">
        <v>1157</v>
      </c>
      <c r="V158" s="3" t="n"/>
      <c r="W158" s="3" t="n">
        <v>314</v>
      </c>
      <c r="X158" s="3">
        <f>ROUND((T158+1)*'Read me'!$C$14/60,1)</f>
        <v/>
      </c>
      <c r="Y158" s="8" t="n"/>
      <c r="Z158" s="8" t="inlineStr">
        <is>
          <t>Not started</t>
        </is>
      </c>
      <c r="AA158" s="8" t="n"/>
      <c r="AB158" s="8" t="n"/>
      <c r="AC158" s="8" t="n"/>
      <c r="AD158" s="8" t="n"/>
      <c r="AE158" s="8" t="n"/>
      <c r="AF158" s="8" t="n"/>
      <c r="AG158" s="8" t="n"/>
      <c r="AH158" s="8" t="n"/>
      <c r="AI158" s="8" t="n"/>
      <c r="AJ158" s="8">
        <f>IF(OR(AH158="",'Submission &amp; QC'!$C$18=""),"",IF(AND(ABS(AH158-'Submission &amp; QC'!$C$18)&lt;=0.0005*ABS('Submission &amp; QC'!$C$18),ABS(AI158-'Submission &amp; QC'!$C$19)&lt;=0.0005*ABS('Submission &amp; QC'!$C$19)),"Pass","Fail"))</f>
        <v/>
      </c>
      <c r="AK158" s="8" t="n"/>
      <c r="AL158" s="8" t="n"/>
    </row>
    <row r="159" ht="195" customHeight="1">
      <c r="A159" s="3" t="inlineStr">
        <is>
          <t>B158</t>
        </is>
      </c>
      <c r="B159" s="9" t="inlineStr">
        <is>
          <t>B</t>
        </is>
      </c>
      <c r="C159" s="3" t="n">
        <v>1</v>
      </c>
      <c r="D159" s="3" t="inlineStr">
        <is>
          <t>Decommission</t>
        </is>
      </c>
      <c r="E159" s="3" t="inlineStr">
        <is>
          <t>DECOM-Region-Shallowest-Partial-Prop-Many</t>
        </is>
      </c>
      <c r="F159" s="3" t="inlineStr">
        <is>
          <t>Decommission: many: 11-50 removals, shallowest first, partial removal / toppling (50%; $30,000 + $600/m), freed area to natural habitats, proportionally, Whole model area</t>
        </is>
      </c>
      <c r="G159" s="3" t="inlineStr">
        <is>
          <t>Whole model area</t>
        </is>
      </c>
      <c r="H159" s="3" t="n"/>
      <c r="I159" s="3" t="n"/>
      <c r="J159" s="3" t="n"/>
      <c r="K159" s="3" t="n"/>
      <c r="L159" s="3" t="inlineStr">
        <is>
          <t>Shallowest</t>
        </is>
      </c>
      <c r="M159" s="3" t="inlineStr">
        <is>
          <t>Partial removal / toppling (50%; $30,000 + $600/m)</t>
        </is>
      </c>
      <c r="N159" s="3" t="inlineStr">
        <is>
          <t>Natural habitats, proportionally</t>
        </is>
      </c>
      <c r="O159" s="3" t="inlineStr">
        <is>
          <t>Many: 11-50 removals</t>
        </is>
      </c>
      <c r="P159" s="3" t="n"/>
      <c r="Q159" s="3" t="n"/>
      <c r="R159"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Prefer shallowest
Decommissioning &gt; Freed area becomes: Natural habitats, proportionally
Decommissioning &gt; Min removals: 11
Decommissioning &gt; Max removals: 50
Decommissioning &gt; Fraction of each structure removed: 0.5
Live solver / Search &gt; Number of scenarios to run: 100
Search &gt; Search algorithm: Random search
Search &gt; Random seed: 1,158</t>
        </is>
      </c>
      <c r="S159" s="3" t="inlineStr">
        <is>
          <t>B158_DECOM-Region-Shallowest-Partial-Prop-Many.json</t>
        </is>
      </c>
      <c r="T159" s="3" t="n">
        <v>100</v>
      </c>
      <c r="U159" s="3" t="n">
        <v>1158</v>
      </c>
      <c r="V159" s="3" t="n"/>
      <c r="W159" s="3" t="n">
        <v>314</v>
      </c>
      <c r="X159" s="3">
        <f>ROUND((T159+1)*'Read me'!$C$14/60,1)</f>
        <v/>
      </c>
      <c r="Y159" s="8" t="n"/>
      <c r="Z159" s="8" t="inlineStr">
        <is>
          <t>Not started</t>
        </is>
      </c>
      <c r="AA159" s="8" t="n"/>
      <c r="AB159" s="8" t="n"/>
      <c r="AC159" s="8" t="n"/>
      <c r="AD159" s="8" t="n"/>
      <c r="AE159" s="8" t="n"/>
      <c r="AF159" s="8" t="n"/>
      <c r="AG159" s="8" t="n"/>
      <c r="AH159" s="8" t="n"/>
      <c r="AI159" s="8" t="n"/>
      <c r="AJ159" s="8">
        <f>IF(OR(AH159="",'Submission &amp; QC'!$C$18=""),"",IF(AND(ABS(AH159-'Submission &amp; QC'!$C$18)&lt;=0.0005*ABS('Submission &amp; QC'!$C$18),ABS(AI159-'Submission &amp; QC'!$C$19)&lt;=0.0005*ABS('Submission &amp; QC'!$C$19)),"Pass","Fail"))</f>
        <v/>
      </c>
      <c r="AK159" s="8" t="n"/>
      <c r="AL159" s="8" t="n"/>
    </row>
    <row r="160" ht="195" customHeight="1">
      <c r="A160" s="3" t="inlineStr">
        <is>
          <t>B159</t>
        </is>
      </c>
      <c r="B160" s="9" t="inlineStr">
        <is>
          <t>B</t>
        </is>
      </c>
      <c r="C160" s="3" t="n">
        <v>2</v>
      </c>
      <c r="D160" s="3" t="inlineStr">
        <is>
          <t>Decommission</t>
        </is>
      </c>
      <c r="E160" s="3" t="inlineStr">
        <is>
          <t>DECOM-Region-Shallowest-Partial-Sand-Few</t>
        </is>
      </c>
      <c r="F160" s="3" t="inlineStr">
        <is>
          <t>Decommission: few: 1-10 removals, shallowest first, partial removal / toppling (50%; $30,000 + $600/m), freed area to sand, Whole model area</t>
        </is>
      </c>
      <c r="G160" s="3" t="inlineStr">
        <is>
          <t>Whole model area</t>
        </is>
      </c>
      <c r="H160" s="3" t="n"/>
      <c r="I160" s="3" t="n"/>
      <c r="J160" s="3" t="n"/>
      <c r="K160" s="3" t="n"/>
      <c r="L160" s="3" t="inlineStr">
        <is>
          <t>Shallowest</t>
        </is>
      </c>
      <c r="M160" s="3" t="inlineStr">
        <is>
          <t>Partial removal / toppling (50%; $30,000 + $600/m)</t>
        </is>
      </c>
      <c r="N160" s="3" t="inlineStr">
        <is>
          <t>Sand</t>
        </is>
      </c>
      <c r="O160" s="3" t="inlineStr">
        <is>
          <t>Few: 1-10 removals</t>
        </is>
      </c>
      <c r="P160" s="3" t="n"/>
      <c r="Q160" s="3" t="n"/>
      <c r="R160"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Prefer shallowest
Decommissioning &gt; Freed area becomes: sand
Decommissioning &gt; Min removals: 1
Decommissioning &gt; Max removals: 10
Decommissioning &gt; Fraction of each structure removed: 0.5
Live solver / Search &gt; Number of scenarios to run: 100
Search &gt; Search algorithm: Random search
Search &gt; Random seed: 1,159</t>
        </is>
      </c>
      <c r="S160" s="3" t="inlineStr">
        <is>
          <t>B159_DECOM-Region-Shallowest-Partial-Sand-Few.json</t>
        </is>
      </c>
      <c r="T160" s="3" t="n">
        <v>100</v>
      </c>
      <c r="U160" s="3" t="n">
        <v>1159</v>
      </c>
      <c r="V160" s="3" t="n"/>
      <c r="W160" s="3" t="n">
        <v>314</v>
      </c>
      <c r="X160" s="3">
        <f>ROUND((T160+1)*'Read me'!$C$14/60,1)</f>
        <v/>
      </c>
      <c r="Y160" s="8" t="n"/>
      <c r="Z160" s="8" t="inlineStr">
        <is>
          <t>Not started</t>
        </is>
      </c>
      <c r="AA160" s="8" t="n"/>
      <c r="AB160" s="8" t="n"/>
      <c r="AC160" s="8" t="n"/>
      <c r="AD160" s="8" t="n"/>
      <c r="AE160" s="8" t="n"/>
      <c r="AF160" s="8" t="n"/>
      <c r="AG160" s="8" t="n"/>
      <c r="AH160" s="8" t="n"/>
      <c r="AI160" s="8" t="n"/>
      <c r="AJ160" s="8">
        <f>IF(OR(AH160="",'Submission &amp; QC'!$C$18=""),"",IF(AND(ABS(AH160-'Submission &amp; QC'!$C$18)&lt;=0.0005*ABS('Submission &amp; QC'!$C$18),ABS(AI160-'Submission &amp; QC'!$C$19)&lt;=0.0005*ABS('Submission &amp; QC'!$C$19)),"Pass","Fail"))</f>
        <v/>
      </c>
      <c r="AK160" s="8" t="n"/>
      <c r="AL160" s="8" t="n"/>
    </row>
    <row r="161" ht="195" customHeight="1">
      <c r="A161" s="3" t="inlineStr">
        <is>
          <t>B160</t>
        </is>
      </c>
      <c r="B161" s="9" t="inlineStr">
        <is>
          <t>B</t>
        </is>
      </c>
      <c r="C161" s="3" t="n">
        <v>2</v>
      </c>
      <c r="D161" s="3" t="inlineStr">
        <is>
          <t>Decommission</t>
        </is>
      </c>
      <c r="E161" s="3" t="inlineStr">
        <is>
          <t>DECOM-Region-Shallowest-Partial-Sand-Many</t>
        </is>
      </c>
      <c r="F161" s="3" t="inlineStr">
        <is>
          <t>Decommission: many: 11-50 removals, shallowest first, partial removal / toppling (50%; $30,000 + $600/m), freed area to sand, Whole model area</t>
        </is>
      </c>
      <c r="G161" s="3" t="inlineStr">
        <is>
          <t>Whole model area</t>
        </is>
      </c>
      <c r="H161" s="3" t="n"/>
      <c r="I161" s="3" t="n"/>
      <c r="J161" s="3" t="n"/>
      <c r="K161" s="3" t="n"/>
      <c r="L161" s="3" t="inlineStr">
        <is>
          <t>Shallowest</t>
        </is>
      </c>
      <c r="M161" s="3" t="inlineStr">
        <is>
          <t>Partial removal / toppling (50%; $30,000 + $600/m)</t>
        </is>
      </c>
      <c r="N161" s="3" t="inlineStr">
        <is>
          <t>Sand</t>
        </is>
      </c>
      <c r="O161" s="3" t="inlineStr">
        <is>
          <t>Many: 11-50 removals</t>
        </is>
      </c>
      <c r="P161" s="3" t="n"/>
      <c r="Q161" s="3" t="n"/>
      <c r="R161"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Prefer shallowest
Decommissioning &gt; Freed area becomes: sand
Decommissioning &gt; Min removals: 11
Decommissioning &gt; Max removals: 50
Decommissioning &gt; Fraction of each structure removed: 0.5
Live solver / Search &gt; Number of scenarios to run: 100
Search &gt; Search algorithm: Random search
Search &gt; Random seed: 1,160</t>
        </is>
      </c>
      <c r="S161" s="3" t="inlineStr">
        <is>
          <t>B160_DECOM-Region-Shallowest-Partial-Sand-Many.json</t>
        </is>
      </c>
      <c r="T161" s="3" t="n">
        <v>100</v>
      </c>
      <c r="U161" s="3" t="n">
        <v>1160</v>
      </c>
      <c r="V161" s="3" t="n"/>
      <c r="W161" s="3" t="n">
        <v>314</v>
      </c>
      <c r="X161" s="3">
        <f>ROUND((T161+1)*'Read me'!$C$14/60,1)</f>
        <v/>
      </c>
      <c r="Y161" s="8" t="n"/>
      <c r="Z161" s="8" t="inlineStr">
        <is>
          <t>Not started</t>
        </is>
      </c>
      <c r="AA161" s="8" t="n"/>
      <c r="AB161" s="8" t="n"/>
      <c r="AC161" s="8" t="n"/>
      <c r="AD161" s="8" t="n"/>
      <c r="AE161" s="8" t="n"/>
      <c r="AF161" s="8" t="n"/>
      <c r="AG161" s="8" t="n"/>
      <c r="AH161" s="8" t="n"/>
      <c r="AI161" s="8" t="n"/>
      <c r="AJ161" s="8">
        <f>IF(OR(AH161="",'Submission &amp; QC'!$C$18=""),"",IF(AND(ABS(AH161-'Submission &amp; QC'!$C$18)&lt;=0.0005*ABS('Submission &amp; QC'!$C$18),ABS(AI161-'Submission &amp; QC'!$C$19)&lt;=0.0005*ABS('Submission &amp; QC'!$C$19)),"Pass","Fail"))</f>
        <v/>
      </c>
      <c r="AK161" s="8" t="n"/>
      <c r="AL161" s="8" t="n"/>
    </row>
    <row r="162" ht="195" customHeight="1">
      <c r="A162" s="3" t="inlineStr">
        <is>
          <t>B161</t>
        </is>
      </c>
      <c r="B162" s="9" t="inlineStr">
        <is>
          <t>B</t>
        </is>
      </c>
      <c r="C162" s="3" t="n">
        <v>1</v>
      </c>
      <c r="D162" s="3" t="inlineStr">
        <is>
          <t>Decommission</t>
        </is>
      </c>
      <c r="E162" s="3" t="inlineStr">
        <is>
          <t>DECOM-Region-Deepest-Full-Prop-Few</t>
        </is>
      </c>
      <c r="F162" s="3" t="inlineStr">
        <is>
          <t>Decommission: few: 1-10 removals, deepest first, full removal (100%; $50,000 + $1,000/m), freed area to natural habitats, proportionally, Whole model area</t>
        </is>
      </c>
      <c r="G162" s="3" t="inlineStr">
        <is>
          <t>Whole model area</t>
        </is>
      </c>
      <c r="H162" s="3" t="n"/>
      <c r="I162" s="3" t="n"/>
      <c r="J162" s="3" t="n"/>
      <c r="K162" s="3" t="n"/>
      <c r="L162" s="3" t="inlineStr">
        <is>
          <t>Deepest</t>
        </is>
      </c>
      <c r="M162" s="3" t="inlineStr">
        <is>
          <t>Full removal (100%; $50,000 + $1,000/m)</t>
        </is>
      </c>
      <c r="N162" s="3" t="inlineStr">
        <is>
          <t>Natural habitats, proportionally</t>
        </is>
      </c>
      <c r="O162" s="3" t="inlineStr">
        <is>
          <t>Few: 1-10 removals</t>
        </is>
      </c>
      <c r="P162" s="3" t="n"/>
      <c r="Q162" s="3" t="n"/>
      <c r="R162"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Prefer deepest
Decommissioning &gt; Freed area becomes: Natural habitats, proportionally
Decommissioning &gt; Min removals: 1
Decommissioning &gt; Max removals: 10
Decommissioning &gt; Fraction of each structure removed: 1.0
Live solver / Search &gt; Number of scenarios to run: 100
Search &gt; Search algorithm: Random search
Search &gt; Random seed: 1,161</t>
        </is>
      </c>
      <c r="S162" s="3" t="inlineStr">
        <is>
          <t>B161_DECOM-Region-Deepest-Full-Prop-Few.json</t>
        </is>
      </c>
      <c r="T162" s="3" t="n">
        <v>100</v>
      </c>
      <c r="U162" s="3" t="n">
        <v>1161</v>
      </c>
      <c r="V162" s="3" t="n"/>
      <c r="W162" s="3" t="n">
        <v>314</v>
      </c>
      <c r="X162" s="3">
        <f>ROUND((T162+1)*'Read me'!$C$14/60,1)</f>
        <v/>
      </c>
      <c r="Y162" s="8" t="n"/>
      <c r="Z162" s="8" t="inlineStr">
        <is>
          <t>Not started</t>
        </is>
      </c>
      <c r="AA162" s="8" t="n"/>
      <c r="AB162" s="8" t="n"/>
      <c r="AC162" s="8" t="n"/>
      <c r="AD162" s="8" t="n"/>
      <c r="AE162" s="8" t="n"/>
      <c r="AF162" s="8" t="n"/>
      <c r="AG162" s="8" t="n"/>
      <c r="AH162" s="8" t="n"/>
      <c r="AI162" s="8" t="n"/>
      <c r="AJ162" s="8">
        <f>IF(OR(AH162="",'Submission &amp; QC'!$C$18=""),"",IF(AND(ABS(AH162-'Submission &amp; QC'!$C$18)&lt;=0.0005*ABS('Submission &amp; QC'!$C$18),ABS(AI162-'Submission &amp; QC'!$C$19)&lt;=0.0005*ABS('Submission &amp; QC'!$C$19)),"Pass","Fail"))</f>
        <v/>
      </c>
      <c r="AK162" s="8" t="n"/>
      <c r="AL162" s="8" t="n"/>
    </row>
    <row r="163" ht="195" customHeight="1">
      <c r="A163" s="3" t="inlineStr">
        <is>
          <t>B162</t>
        </is>
      </c>
      <c r="B163" s="9" t="inlineStr">
        <is>
          <t>B</t>
        </is>
      </c>
      <c r="C163" s="3" t="n">
        <v>1</v>
      </c>
      <c r="D163" s="3" t="inlineStr">
        <is>
          <t>Decommission</t>
        </is>
      </c>
      <c r="E163" s="3" t="inlineStr">
        <is>
          <t>DECOM-Region-Deepest-Full-Prop-Many</t>
        </is>
      </c>
      <c r="F163" s="3" t="inlineStr">
        <is>
          <t>Decommission: many: 11-50 removals, deepest first, full removal (100%; $50,000 + $1,000/m), freed area to natural habitats, proportionally, Whole model area</t>
        </is>
      </c>
      <c r="G163" s="3" t="inlineStr">
        <is>
          <t>Whole model area</t>
        </is>
      </c>
      <c r="H163" s="3" t="n"/>
      <c r="I163" s="3" t="n"/>
      <c r="J163" s="3" t="n"/>
      <c r="K163" s="3" t="n"/>
      <c r="L163" s="3" t="inlineStr">
        <is>
          <t>Deepest</t>
        </is>
      </c>
      <c r="M163" s="3" t="inlineStr">
        <is>
          <t>Full removal (100%; $50,000 + $1,000/m)</t>
        </is>
      </c>
      <c r="N163" s="3" t="inlineStr">
        <is>
          <t>Natural habitats, proportionally</t>
        </is>
      </c>
      <c r="O163" s="3" t="inlineStr">
        <is>
          <t>Many: 11-50 removals</t>
        </is>
      </c>
      <c r="P163" s="3" t="n"/>
      <c r="Q163" s="3" t="n"/>
      <c r="R163"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Prefer deepest
Decommissioning &gt; Freed area becomes: Natural habitats, proportionally
Decommissioning &gt; Min removals: 11
Decommissioning &gt; Max removals: 50
Decommissioning &gt; Fraction of each structure removed: 1.0
Live solver / Search &gt; Number of scenarios to run: 100
Search &gt; Search algorithm: Random search
Search &gt; Random seed: 1,162</t>
        </is>
      </c>
      <c r="S163" s="3" t="inlineStr">
        <is>
          <t>B162_DECOM-Region-Deepest-Full-Prop-Many.json</t>
        </is>
      </c>
      <c r="T163" s="3" t="n">
        <v>100</v>
      </c>
      <c r="U163" s="3" t="n">
        <v>1162</v>
      </c>
      <c r="V163" s="3" t="n"/>
      <c r="W163" s="3" t="n">
        <v>314</v>
      </c>
      <c r="X163" s="3">
        <f>ROUND((T163+1)*'Read me'!$C$14/60,1)</f>
        <v/>
      </c>
      <c r="Y163" s="8" t="n"/>
      <c r="Z163" s="8" t="inlineStr">
        <is>
          <t>Not started</t>
        </is>
      </c>
      <c r="AA163" s="8" t="n"/>
      <c r="AB163" s="8" t="n"/>
      <c r="AC163" s="8" t="n"/>
      <c r="AD163" s="8" t="n"/>
      <c r="AE163" s="8" t="n"/>
      <c r="AF163" s="8" t="n"/>
      <c r="AG163" s="8" t="n"/>
      <c r="AH163" s="8" t="n"/>
      <c r="AI163" s="8" t="n"/>
      <c r="AJ163" s="8">
        <f>IF(OR(AH163="",'Submission &amp; QC'!$C$18=""),"",IF(AND(ABS(AH163-'Submission &amp; QC'!$C$18)&lt;=0.0005*ABS('Submission &amp; QC'!$C$18),ABS(AI163-'Submission &amp; QC'!$C$19)&lt;=0.0005*ABS('Submission &amp; QC'!$C$19)),"Pass","Fail"))</f>
        <v/>
      </c>
      <c r="AK163" s="8" t="n"/>
      <c r="AL163" s="8" t="n"/>
    </row>
    <row r="164" ht="195" customHeight="1">
      <c r="A164" s="3" t="inlineStr">
        <is>
          <t>B163</t>
        </is>
      </c>
      <c r="B164" s="9" t="inlineStr">
        <is>
          <t>B</t>
        </is>
      </c>
      <c r="C164" s="3" t="n">
        <v>2</v>
      </c>
      <c r="D164" s="3" t="inlineStr">
        <is>
          <t>Decommission</t>
        </is>
      </c>
      <c r="E164" s="3" t="inlineStr">
        <is>
          <t>DECOM-Region-Deepest-Full-Sand-Few</t>
        </is>
      </c>
      <c r="F164" s="3" t="inlineStr">
        <is>
          <t>Decommission: few: 1-10 removals, deepest first, full removal (100%; $50,000 + $1,000/m), freed area to sand, Whole model area</t>
        </is>
      </c>
      <c r="G164" s="3" t="inlineStr">
        <is>
          <t>Whole model area</t>
        </is>
      </c>
      <c r="H164" s="3" t="n"/>
      <c r="I164" s="3" t="n"/>
      <c r="J164" s="3" t="n"/>
      <c r="K164" s="3" t="n"/>
      <c r="L164" s="3" t="inlineStr">
        <is>
          <t>Deepest</t>
        </is>
      </c>
      <c r="M164" s="3" t="inlineStr">
        <is>
          <t>Full removal (100%; $50,000 + $1,000/m)</t>
        </is>
      </c>
      <c r="N164" s="3" t="inlineStr">
        <is>
          <t>Sand</t>
        </is>
      </c>
      <c r="O164" s="3" t="inlineStr">
        <is>
          <t>Few: 1-10 removals</t>
        </is>
      </c>
      <c r="P164" s="3" t="n"/>
      <c r="Q164" s="3" t="n"/>
      <c r="R164"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Prefer deepest
Decommissioning &gt; Freed area becomes: sand
Decommissioning &gt; Min removals: 1
Decommissioning &gt; Max removals: 10
Decommissioning &gt; Fraction of each structure removed: 1.0
Live solver / Search &gt; Number of scenarios to run: 100
Search &gt; Search algorithm: Random search
Search &gt; Random seed: 1,163</t>
        </is>
      </c>
      <c r="S164" s="3" t="inlineStr">
        <is>
          <t>B163_DECOM-Region-Deepest-Full-Sand-Few.json</t>
        </is>
      </c>
      <c r="T164" s="3" t="n">
        <v>100</v>
      </c>
      <c r="U164" s="3" t="n">
        <v>1163</v>
      </c>
      <c r="V164" s="3" t="n"/>
      <c r="W164" s="3" t="n">
        <v>314</v>
      </c>
      <c r="X164" s="3">
        <f>ROUND((T164+1)*'Read me'!$C$14/60,1)</f>
        <v/>
      </c>
      <c r="Y164" s="8" t="n"/>
      <c r="Z164" s="8" t="inlineStr">
        <is>
          <t>Not started</t>
        </is>
      </c>
      <c r="AA164" s="8" t="n"/>
      <c r="AB164" s="8" t="n"/>
      <c r="AC164" s="8" t="n"/>
      <c r="AD164" s="8" t="n"/>
      <c r="AE164" s="8" t="n"/>
      <c r="AF164" s="8" t="n"/>
      <c r="AG164" s="8" t="n"/>
      <c r="AH164" s="8" t="n"/>
      <c r="AI164" s="8" t="n"/>
      <c r="AJ164" s="8">
        <f>IF(OR(AH164="",'Submission &amp; QC'!$C$18=""),"",IF(AND(ABS(AH164-'Submission &amp; QC'!$C$18)&lt;=0.0005*ABS('Submission &amp; QC'!$C$18),ABS(AI164-'Submission &amp; QC'!$C$19)&lt;=0.0005*ABS('Submission &amp; QC'!$C$19)),"Pass","Fail"))</f>
        <v/>
      </c>
      <c r="AK164" s="8" t="n"/>
      <c r="AL164" s="8" t="n"/>
    </row>
    <row r="165" ht="195" customHeight="1">
      <c r="A165" s="3" t="inlineStr">
        <is>
          <t>B164</t>
        </is>
      </c>
      <c r="B165" s="9" t="inlineStr">
        <is>
          <t>B</t>
        </is>
      </c>
      <c r="C165" s="3" t="n">
        <v>2</v>
      </c>
      <c r="D165" s="3" t="inlineStr">
        <is>
          <t>Decommission</t>
        </is>
      </c>
      <c r="E165" s="3" t="inlineStr">
        <is>
          <t>DECOM-Region-Deepest-Full-Sand-Many</t>
        </is>
      </c>
      <c r="F165" s="3" t="inlineStr">
        <is>
          <t>Decommission: many: 11-50 removals, deepest first, full removal (100%; $50,000 + $1,000/m), freed area to sand, Whole model area</t>
        </is>
      </c>
      <c r="G165" s="3" t="inlineStr">
        <is>
          <t>Whole model area</t>
        </is>
      </c>
      <c r="H165" s="3" t="n"/>
      <c r="I165" s="3" t="n"/>
      <c r="J165" s="3" t="n"/>
      <c r="K165" s="3" t="n"/>
      <c r="L165" s="3" t="inlineStr">
        <is>
          <t>Deepest</t>
        </is>
      </c>
      <c r="M165" s="3" t="inlineStr">
        <is>
          <t>Full removal (100%; $50,000 + $1,000/m)</t>
        </is>
      </c>
      <c r="N165" s="3" t="inlineStr">
        <is>
          <t>Sand</t>
        </is>
      </c>
      <c r="O165" s="3" t="inlineStr">
        <is>
          <t>Many: 11-50 removals</t>
        </is>
      </c>
      <c r="P165" s="3" t="n"/>
      <c r="Q165" s="3" t="n"/>
      <c r="R165" s="3" t="inlineStr">
        <is>
          <t>Strategy &gt; Strategy: Decommission existing structures
Decommissioning &gt; Removal budget (USD): 10,000,000
Decommissioning &gt; Cost: Depth-based
Decommissioning &gt; Fixed cost per removal (USD, added): 50,000
Decommissioning &gt; USD per metre depth: 1,000
Decommissioning &gt; Selection preference: Prefer deepest
Decommissioning &gt; Freed area becomes: sand
Decommissioning &gt; Min removals: 11
Decommissioning &gt; Max removals: 50
Decommissioning &gt; Fraction of each structure removed: 1.0
Live solver / Search &gt; Number of scenarios to run: 100
Search &gt; Search algorithm: Random search
Search &gt; Random seed: 1,164</t>
        </is>
      </c>
      <c r="S165" s="3" t="inlineStr">
        <is>
          <t>B164_DECOM-Region-Deepest-Full-Sand-Many.json</t>
        </is>
      </c>
      <c r="T165" s="3" t="n">
        <v>100</v>
      </c>
      <c r="U165" s="3" t="n">
        <v>1164</v>
      </c>
      <c r="V165" s="3" t="n"/>
      <c r="W165" s="3" t="n">
        <v>314</v>
      </c>
      <c r="X165" s="3">
        <f>ROUND((T165+1)*'Read me'!$C$14/60,1)</f>
        <v/>
      </c>
      <c r="Y165" s="8" t="n"/>
      <c r="Z165" s="8" t="inlineStr">
        <is>
          <t>Not started</t>
        </is>
      </c>
      <c r="AA165" s="8" t="n"/>
      <c r="AB165" s="8" t="n"/>
      <c r="AC165" s="8" t="n"/>
      <c r="AD165" s="8" t="n"/>
      <c r="AE165" s="8" t="n"/>
      <c r="AF165" s="8" t="n"/>
      <c r="AG165" s="8" t="n"/>
      <c r="AH165" s="8" t="n"/>
      <c r="AI165" s="8" t="n"/>
      <c r="AJ165" s="8">
        <f>IF(OR(AH165="",'Submission &amp; QC'!$C$18=""),"",IF(AND(ABS(AH165-'Submission &amp; QC'!$C$18)&lt;=0.0005*ABS('Submission &amp; QC'!$C$18),ABS(AI165-'Submission &amp; QC'!$C$19)&lt;=0.0005*ABS('Submission &amp; QC'!$C$19)),"Pass","Fail"))</f>
        <v/>
      </c>
      <c r="AK165" s="8" t="n"/>
      <c r="AL165" s="8" t="n"/>
    </row>
    <row r="166" ht="195" customHeight="1">
      <c r="A166" s="3" t="inlineStr">
        <is>
          <t>B165</t>
        </is>
      </c>
      <c r="B166" s="9" t="inlineStr">
        <is>
          <t>B</t>
        </is>
      </c>
      <c r="C166" s="3" t="n">
        <v>1</v>
      </c>
      <c r="D166" s="3" t="inlineStr">
        <is>
          <t>Decommission</t>
        </is>
      </c>
      <c r="E166" s="3" t="inlineStr">
        <is>
          <t>DECOM-Region-Deepest-Partial-Prop-Few</t>
        </is>
      </c>
      <c r="F166" s="3" t="inlineStr">
        <is>
          <t>Decommission: few: 1-10 removals, deepest first, partial removal / toppling (50%; $30,000 + $600/m), freed area to natural habitats, proportionally, Whole model area</t>
        </is>
      </c>
      <c r="G166" s="3" t="inlineStr">
        <is>
          <t>Whole model area</t>
        </is>
      </c>
      <c r="H166" s="3" t="n"/>
      <c r="I166" s="3" t="n"/>
      <c r="J166" s="3" t="n"/>
      <c r="K166" s="3" t="n"/>
      <c r="L166" s="3" t="inlineStr">
        <is>
          <t>Deepest</t>
        </is>
      </c>
      <c r="M166" s="3" t="inlineStr">
        <is>
          <t>Partial removal / toppling (50%; $30,000 + $600/m)</t>
        </is>
      </c>
      <c r="N166" s="3" t="inlineStr">
        <is>
          <t>Natural habitats, proportionally</t>
        </is>
      </c>
      <c r="O166" s="3" t="inlineStr">
        <is>
          <t>Few: 1-10 removals</t>
        </is>
      </c>
      <c r="P166" s="3" t="n"/>
      <c r="Q166" s="3" t="n"/>
      <c r="R166"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Prefer deepest
Decommissioning &gt; Freed area becomes: Natural habitats, proportionally
Decommissioning &gt; Min removals: 1
Decommissioning &gt; Max removals: 10
Decommissioning &gt; Fraction of each structure removed: 0.5
Live solver / Search &gt; Number of scenarios to run: 100
Search &gt; Search algorithm: Random search
Search &gt; Random seed: 1,165</t>
        </is>
      </c>
      <c r="S166" s="3" t="inlineStr">
        <is>
          <t>B165_DECOM-Region-Deepest-Partial-Prop-Few.json</t>
        </is>
      </c>
      <c r="T166" s="3" t="n">
        <v>100</v>
      </c>
      <c r="U166" s="3" t="n">
        <v>1165</v>
      </c>
      <c r="V166" s="3" t="n"/>
      <c r="W166" s="3" t="n">
        <v>314</v>
      </c>
      <c r="X166" s="3">
        <f>ROUND((T166+1)*'Read me'!$C$14/60,1)</f>
        <v/>
      </c>
      <c r="Y166" s="8" t="n"/>
      <c r="Z166" s="8" t="inlineStr">
        <is>
          <t>Not started</t>
        </is>
      </c>
      <c r="AA166" s="8" t="n"/>
      <c r="AB166" s="8" t="n"/>
      <c r="AC166" s="8" t="n"/>
      <c r="AD166" s="8" t="n"/>
      <c r="AE166" s="8" t="n"/>
      <c r="AF166" s="8" t="n"/>
      <c r="AG166" s="8" t="n"/>
      <c r="AH166" s="8" t="n"/>
      <c r="AI166" s="8" t="n"/>
      <c r="AJ166" s="8">
        <f>IF(OR(AH166="",'Submission &amp; QC'!$C$18=""),"",IF(AND(ABS(AH166-'Submission &amp; QC'!$C$18)&lt;=0.0005*ABS('Submission &amp; QC'!$C$18),ABS(AI166-'Submission &amp; QC'!$C$19)&lt;=0.0005*ABS('Submission &amp; QC'!$C$19)),"Pass","Fail"))</f>
        <v/>
      </c>
      <c r="AK166" s="8" t="n"/>
      <c r="AL166" s="8" t="n"/>
    </row>
    <row r="167" ht="195" customHeight="1">
      <c r="A167" s="3" t="inlineStr">
        <is>
          <t>B166</t>
        </is>
      </c>
      <c r="B167" s="9" t="inlineStr">
        <is>
          <t>B</t>
        </is>
      </c>
      <c r="C167" s="3" t="n">
        <v>1</v>
      </c>
      <c r="D167" s="3" t="inlineStr">
        <is>
          <t>Decommission</t>
        </is>
      </c>
      <c r="E167" s="3" t="inlineStr">
        <is>
          <t>DECOM-Region-Deepest-Partial-Prop-Many</t>
        </is>
      </c>
      <c r="F167" s="3" t="inlineStr">
        <is>
          <t>Decommission: many: 11-50 removals, deepest first, partial removal / toppling (50%; $30,000 + $600/m), freed area to natural habitats, proportionally, Whole model area</t>
        </is>
      </c>
      <c r="G167" s="3" t="inlineStr">
        <is>
          <t>Whole model area</t>
        </is>
      </c>
      <c r="H167" s="3" t="n"/>
      <c r="I167" s="3" t="n"/>
      <c r="J167" s="3" t="n"/>
      <c r="K167" s="3" t="n"/>
      <c r="L167" s="3" t="inlineStr">
        <is>
          <t>Deepest</t>
        </is>
      </c>
      <c r="M167" s="3" t="inlineStr">
        <is>
          <t>Partial removal / toppling (50%; $30,000 + $600/m)</t>
        </is>
      </c>
      <c r="N167" s="3" t="inlineStr">
        <is>
          <t>Natural habitats, proportionally</t>
        </is>
      </c>
      <c r="O167" s="3" t="inlineStr">
        <is>
          <t>Many: 11-50 removals</t>
        </is>
      </c>
      <c r="P167" s="3" t="n"/>
      <c r="Q167" s="3" t="n"/>
      <c r="R167"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Prefer deepest
Decommissioning &gt; Freed area becomes: Natural habitats, proportionally
Decommissioning &gt; Min removals: 11
Decommissioning &gt; Max removals: 50
Decommissioning &gt; Fraction of each structure removed: 0.5
Live solver / Search &gt; Number of scenarios to run: 100
Search &gt; Search algorithm: Random search
Search &gt; Random seed: 1,166</t>
        </is>
      </c>
      <c r="S167" s="3" t="inlineStr">
        <is>
          <t>B166_DECOM-Region-Deepest-Partial-Prop-Many.json</t>
        </is>
      </c>
      <c r="T167" s="3" t="n">
        <v>100</v>
      </c>
      <c r="U167" s="3" t="n">
        <v>1166</v>
      </c>
      <c r="V167" s="3" t="n"/>
      <c r="W167" s="3" t="n">
        <v>314</v>
      </c>
      <c r="X167" s="3">
        <f>ROUND((T167+1)*'Read me'!$C$14/60,1)</f>
        <v/>
      </c>
      <c r="Y167" s="8" t="n"/>
      <c r="Z167" s="8" t="inlineStr">
        <is>
          <t>Not started</t>
        </is>
      </c>
      <c r="AA167" s="8" t="n"/>
      <c r="AB167" s="8" t="n"/>
      <c r="AC167" s="8" t="n"/>
      <c r="AD167" s="8" t="n"/>
      <c r="AE167" s="8" t="n"/>
      <c r="AF167" s="8" t="n"/>
      <c r="AG167" s="8" t="n"/>
      <c r="AH167" s="8" t="n"/>
      <c r="AI167" s="8" t="n"/>
      <c r="AJ167" s="8">
        <f>IF(OR(AH167="",'Submission &amp; QC'!$C$18=""),"",IF(AND(ABS(AH167-'Submission &amp; QC'!$C$18)&lt;=0.0005*ABS('Submission &amp; QC'!$C$18),ABS(AI167-'Submission &amp; QC'!$C$19)&lt;=0.0005*ABS('Submission &amp; QC'!$C$19)),"Pass","Fail"))</f>
        <v/>
      </c>
      <c r="AK167" s="8" t="n"/>
      <c r="AL167" s="8" t="n"/>
    </row>
    <row r="168" ht="195" customHeight="1">
      <c r="A168" s="3" t="inlineStr">
        <is>
          <t>B167</t>
        </is>
      </c>
      <c r="B168" s="9" t="inlineStr">
        <is>
          <t>B</t>
        </is>
      </c>
      <c r="C168" s="3" t="n">
        <v>2</v>
      </c>
      <c r="D168" s="3" t="inlineStr">
        <is>
          <t>Decommission</t>
        </is>
      </c>
      <c r="E168" s="3" t="inlineStr">
        <is>
          <t>DECOM-Region-Deepest-Partial-Sand-Few</t>
        </is>
      </c>
      <c r="F168" s="3" t="inlineStr">
        <is>
          <t>Decommission: few: 1-10 removals, deepest first, partial removal / toppling (50%; $30,000 + $600/m), freed area to sand, Whole model area</t>
        </is>
      </c>
      <c r="G168" s="3" t="inlineStr">
        <is>
          <t>Whole model area</t>
        </is>
      </c>
      <c r="H168" s="3" t="n"/>
      <c r="I168" s="3" t="n"/>
      <c r="J168" s="3" t="n"/>
      <c r="K168" s="3" t="n"/>
      <c r="L168" s="3" t="inlineStr">
        <is>
          <t>Deepest</t>
        </is>
      </c>
      <c r="M168" s="3" t="inlineStr">
        <is>
          <t>Partial removal / toppling (50%; $30,000 + $600/m)</t>
        </is>
      </c>
      <c r="N168" s="3" t="inlineStr">
        <is>
          <t>Sand</t>
        </is>
      </c>
      <c r="O168" s="3" t="inlineStr">
        <is>
          <t>Few: 1-10 removals</t>
        </is>
      </c>
      <c r="P168" s="3" t="n"/>
      <c r="Q168" s="3" t="n"/>
      <c r="R168"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Prefer deepest
Decommissioning &gt; Freed area becomes: sand
Decommissioning &gt; Min removals: 1
Decommissioning &gt; Max removals: 10
Decommissioning &gt; Fraction of each structure removed: 0.5
Live solver / Search &gt; Number of scenarios to run: 100
Search &gt; Search algorithm: Random search
Search &gt; Random seed: 1,167</t>
        </is>
      </c>
      <c r="S168" s="3" t="inlineStr">
        <is>
          <t>B167_DECOM-Region-Deepest-Partial-Sand-Few.json</t>
        </is>
      </c>
      <c r="T168" s="3" t="n">
        <v>100</v>
      </c>
      <c r="U168" s="3" t="n">
        <v>1167</v>
      </c>
      <c r="V168" s="3" t="n"/>
      <c r="W168" s="3" t="n">
        <v>314</v>
      </c>
      <c r="X168" s="3">
        <f>ROUND((T168+1)*'Read me'!$C$14/60,1)</f>
        <v/>
      </c>
      <c r="Y168" s="8" t="n"/>
      <c r="Z168" s="8" t="inlineStr">
        <is>
          <t>Not started</t>
        </is>
      </c>
      <c r="AA168" s="8" t="n"/>
      <c r="AB168" s="8" t="n"/>
      <c r="AC168" s="8" t="n"/>
      <c r="AD168" s="8" t="n"/>
      <c r="AE168" s="8" t="n"/>
      <c r="AF168" s="8" t="n"/>
      <c r="AG168" s="8" t="n"/>
      <c r="AH168" s="8" t="n"/>
      <c r="AI168" s="8" t="n"/>
      <c r="AJ168" s="8">
        <f>IF(OR(AH168="",'Submission &amp; QC'!$C$18=""),"",IF(AND(ABS(AH168-'Submission &amp; QC'!$C$18)&lt;=0.0005*ABS('Submission &amp; QC'!$C$18),ABS(AI168-'Submission &amp; QC'!$C$19)&lt;=0.0005*ABS('Submission &amp; QC'!$C$19)),"Pass","Fail"))</f>
        <v/>
      </c>
      <c r="AK168" s="8" t="n"/>
      <c r="AL168" s="8" t="n"/>
    </row>
    <row r="169" ht="195" customHeight="1">
      <c r="A169" s="3" t="inlineStr">
        <is>
          <t>B168</t>
        </is>
      </c>
      <c r="B169" s="9" t="inlineStr">
        <is>
          <t>B</t>
        </is>
      </c>
      <c r="C169" s="3" t="n">
        <v>2</v>
      </c>
      <c r="D169" s="3" t="inlineStr">
        <is>
          <t>Decommission</t>
        </is>
      </c>
      <c r="E169" s="3" t="inlineStr">
        <is>
          <t>DECOM-Region-Deepest-Partial-Sand-Many</t>
        </is>
      </c>
      <c r="F169" s="3" t="inlineStr">
        <is>
          <t>Decommission: many: 11-50 removals, deepest first, partial removal / toppling (50%; $30,000 + $600/m), freed area to sand, Whole model area</t>
        </is>
      </c>
      <c r="G169" s="3" t="inlineStr">
        <is>
          <t>Whole model area</t>
        </is>
      </c>
      <c r="H169" s="3" t="n"/>
      <c r="I169" s="3" t="n"/>
      <c r="J169" s="3" t="n"/>
      <c r="K169" s="3" t="n"/>
      <c r="L169" s="3" t="inlineStr">
        <is>
          <t>Deepest</t>
        </is>
      </c>
      <c r="M169" s="3" t="inlineStr">
        <is>
          <t>Partial removal / toppling (50%; $30,000 + $600/m)</t>
        </is>
      </c>
      <c r="N169" s="3" t="inlineStr">
        <is>
          <t>Sand</t>
        </is>
      </c>
      <c r="O169" s="3" t="inlineStr">
        <is>
          <t>Many: 11-50 removals</t>
        </is>
      </c>
      <c r="P169" s="3" t="n"/>
      <c r="Q169" s="3" t="n"/>
      <c r="R169" s="3" t="inlineStr">
        <is>
          <t>Strategy &gt; Strategy: Decommission existing structures
Decommissioning &gt; Removal budget (USD): 10,000,000
Decommissioning &gt; Cost: Depth-based
Decommissioning &gt; Fixed cost per removal (USD, added): 30,000
Decommissioning &gt; USD per metre depth: 600
Decommissioning &gt; Selection preference: Prefer deepest
Decommissioning &gt; Freed area becomes: sand
Decommissioning &gt; Min removals: 11
Decommissioning &gt; Max removals: 50
Decommissioning &gt; Fraction of each structure removed: 0.5
Live solver / Search &gt; Number of scenarios to run: 100
Search &gt; Search algorithm: Random search
Search &gt; Random seed: 1,168</t>
        </is>
      </c>
      <c r="S169" s="3" t="inlineStr">
        <is>
          <t>B168_DECOM-Region-Deepest-Partial-Sand-Many.json</t>
        </is>
      </c>
      <c r="T169" s="3" t="n">
        <v>100</v>
      </c>
      <c r="U169" s="3" t="n">
        <v>1168</v>
      </c>
      <c r="V169" s="3" t="n"/>
      <c r="W169" s="3" t="n">
        <v>314</v>
      </c>
      <c r="X169" s="3">
        <f>ROUND((T169+1)*'Read me'!$C$14/60,1)</f>
        <v/>
      </c>
      <c r="Y169" s="8" t="n"/>
      <c r="Z169" s="8" t="inlineStr">
        <is>
          <t>Not started</t>
        </is>
      </c>
      <c r="AA169" s="8" t="n"/>
      <c r="AB169" s="8" t="n"/>
      <c r="AC169" s="8" t="n"/>
      <c r="AD169" s="8" t="n"/>
      <c r="AE169" s="8" t="n"/>
      <c r="AF169" s="8" t="n"/>
      <c r="AG169" s="8" t="n"/>
      <c r="AH169" s="8" t="n"/>
      <c r="AI169" s="8" t="n"/>
      <c r="AJ169" s="8">
        <f>IF(OR(AH169="",'Submission &amp; QC'!$C$18=""),"",IF(AND(ABS(AH169-'Submission &amp; QC'!$C$18)&lt;=0.0005*ABS('Submission &amp; QC'!$C$18),ABS(AI169-'Submission &amp; QC'!$C$19)&lt;=0.0005*ABS('Submission &amp; QC'!$C$19)),"Pass","Fail"))</f>
        <v/>
      </c>
      <c r="AK169" s="8" t="n"/>
      <c r="AL169" s="8" t="n"/>
    </row>
    <row r="170" ht="210" customHeight="1">
      <c r="A170" s="3" t="inlineStr">
        <is>
          <t>B169</t>
        </is>
      </c>
      <c r="B170" s="9" t="inlineStr">
        <is>
          <t>B</t>
        </is>
      </c>
      <c r="C170" s="3" t="n">
        <v>3</v>
      </c>
      <c r="D170" s="3" t="inlineStr">
        <is>
          <t>Decommission</t>
        </is>
      </c>
      <c r="E170" s="3" t="inlineStr">
        <is>
          <t>DECOM-AL-Random-Full-Prop-Few</t>
        </is>
      </c>
      <c r="F170" s="3" t="inlineStr">
        <is>
          <t>Decommission: few: 1-10 removals, random first, full removal (100%; $50,000 + $1,000/m), freed area to natural habitats, proportionally, Alabama (west of the Perdido River)</t>
        </is>
      </c>
      <c r="G170" s="3" t="inlineStr">
        <is>
          <t>Alabama (west of the Perdido River)</t>
        </is>
      </c>
      <c r="H170" s="3" t="n"/>
      <c r="I170" s="3" t="n"/>
      <c r="J170" s="3" t="n"/>
      <c r="K170" s="3" t="n"/>
      <c r="L170" s="3" t="inlineStr">
        <is>
          <t>Random</t>
        </is>
      </c>
      <c r="M170" s="3" t="inlineStr">
        <is>
          <t>Full removal (100%; $50,000 + $1,000/m)</t>
        </is>
      </c>
      <c r="N170" s="3" t="inlineStr">
        <is>
          <t>Natural habitats, proportionally</t>
        </is>
      </c>
      <c r="O170" s="3" t="inlineStr">
        <is>
          <t>Few: 1-10 removals</t>
        </is>
      </c>
      <c r="P170" s="3" t="n"/>
      <c r="Q170" s="3" t="n"/>
      <c r="R170"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Random
Decommissioning &gt; Freed area becomes: Natural habitats, proportionally
Decommissioning &gt; Min removals: 1
Decommissioning &gt; Max removals: 10
Decommissioning &gt; Fraction of each structure removed: 1.0
Live solver / Search &gt; Number of scenarios to run: 100
Search &gt; Search algorithm: Random search
Search &gt; Random seed: 1,169</t>
        </is>
      </c>
      <c r="S170" s="3" t="inlineStr">
        <is>
          <t>B169_DECOM-AL-Random-Full-Prop-Few.json</t>
        </is>
      </c>
      <c r="T170" s="3" t="n">
        <v>100</v>
      </c>
      <c r="U170" s="3" t="n">
        <v>1169</v>
      </c>
      <c r="V170" s="3" t="n"/>
      <c r="W170" s="3" t="n">
        <v>196</v>
      </c>
      <c r="X170" s="3">
        <f>ROUND((T170+1)*'Read me'!$C$14/60,1)</f>
        <v/>
      </c>
      <c r="Y170" s="8" t="n"/>
      <c r="Z170" s="8" t="inlineStr">
        <is>
          <t>Not started</t>
        </is>
      </c>
      <c r="AA170" s="8" t="n"/>
      <c r="AB170" s="8" t="n"/>
      <c r="AC170" s="8" t="n"/>
      <c r="AD170" s="8" t="n"/>
      <c r="AE170" s="8" t="n"/>
      <c r="AF170" s="8" t="n"/>
      <c r="AG170" s="8" t="n"/>
      <c r="AH170" s="8" t="n"/>
      <c r="AI170" s="8" t="n"/>
      <c r="AJ170" s="8">
        <f>IF(OR(AH170="",'Submission &amp; QC'!$C$18=""),"",IF(AND(ABS(AH170-'Submission &amp; QC'!$C$18)&lt;=0.0005*ABS('Submission &amp; QC'!$C$18),ABS(AI170-'Submission &amp; QC'!$C$19)&lt;=0.0005*ABS('Submission &amp; QC'!$C$19)),"Pass","Fail"))</f>
        <v/>
      </c>
      <c r="AK170" s="8" t="n"/>
      <c r="AL170" s="8" t="n"/>
    </row>
    <row r="171" ht="210" customHeight="1">
      <c r="A171" s="3" t="inlineStr">
        <is>
          <t>B170</t>
        </is>
      </c>
      <c r="B171" s="9" t="inlineStr">
        <is>
          <t>B</t>
        </is>
      </c>
      <c r="C171" s="3" t="n">
        <v>3</v>
      </c>
      <c r="D171" s="3" t="inlineStr">
        <is>
          <t>Decommission</t>
        </is>
      </c>
      <c r="E171" s="3" t="inlineStr">
        <is>
          <t>DECOM-AL-Random-Full-Prop-Many</t>
        </is>
      </c>
      <c r="F171" s="3" t="inlineStr">
        <is>
          <t>Decommission: many: 11-50 removals, random first, full removal (100%; $50,000 + $1,000/m), freed area to natural habitats, proportionally, Alabama (west of the Perdido River)</t>
        </is>
      </c>
      <c r="G171" s="3" t="inlineStr">
        <is>
          <t>Alabama (west of the Perdido River)</t>
        </is>
      </c>
      <c r="H171" s="3" t="n"/>
      <c r="I171" s="3" t="n"/>
      <c r="J171" s="3" t="n"/>
      <c r="K171" s="3" t="n"/>
      <c r="L171" s="3" t="inlineStr">
        <is>
          <t>Random</t>
        </is>
      </c>
      <c r="M171" s="3" t="inlineStr">
        <is>
          <t>Full removal (100%; $50,000 + $1,000/m)</t>
        </is>
      </c>
      <c r="N171" s="3" t="inlineStr">
        <is>
          <t>Natural habitats, proportionally</t>
        </is>
      </c>
      <c r="O171" s="3" t="inlineStr">
        <is>
          <t>Many: 11-50 removals</t>
        </is>
      </c>
      <c r="P171" s="3" t="n"/>
      <c r="Q171" s="3" t="n"/>
      <c r="R171"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Random
Decommissioning &gt; Freed area becomes: Natural habitats, proportionally
Decommissioning &gt; Min removals: 11
Decommissioning &gt; Max removals: 50
Decommissioning &gt; Fraction of each structure removed: 1.0
Live solver / Search &gt; Number of scenarios to run: 100
Search &gt; Search algorithm: Random search
Search &gt; Random seed: 1,170</t>
        </is>
      </c>
      <c r="S171" s="3" t="inlineStr">
        <is>
          <t>B170_DECOM-AL-Random-Full-Prop-Many.json</t>
        </is>
      </c>
      <c r="T171" s="3" t="n">
        <v>100</v>
      </c>
      <c r="U171" s="3" t="n">
        <v>1170</v>
      </c>
      <c r="V171" s="3" t="n"/>
      <c r="W171" s="3" t="n">
        <v>196</v>
      </c>
      <c r="X171" s="3">
        <f>ROUND((T171+1)*'Read me'!$C$14/60,1)</f>
        <v/>
      </c>
      <c r="Y171" s="8" t="n"/>
      <c r="Z171" s="8" t="inlineStr">
        <is>
          <t>Not started</t>
        </is>
      </c>
      <c r="AA171" s="8" t="n"/>
      <c r="AB171" s="8" t="n"/>
      <c r="AC171" s="8" t="n"/>
      <c r="AD171" s="8" t="n"/>
      <c r="AE171" s="8" t="n"/>
      <c r="AF171" s="8" t="n"/>
      <c r="AG171" s="8" t="n"/>
      <c r="AH171" s="8" t="n"/>
      <c r="AI171" s="8" t="n"/>
      <c r="AJ171" s="8">
        <f>IF(OR(AH171="",'Submission &amp; QC'!$C$18=""),"",IF(AND(ABS(AH171-'Submission &amp; QC'!$C$18)&lt;=0.0005*ABS('Submission &amp; QC'!$C$18),ABS(AI171-'Submission &amp; QC'!$C$19)&lt;=0.0005*ABS('Submission &amp; QC'!$C$19)),"Pass","Fail"))</f>
        <v/>
      </c>
      <c r="AK171" s="8" t="n"/>
      <c r="AL171" s="8" t="n"/>
    </row>
    <row r="172" ht="210" customHeight="1">
      <c r="A172" s="3" t="inlineStr">
        <is>
          <t>B171</t>
        </is>
      </c>
      <c r="B172" s="9" t="inlineStr">
        <is>
          <t>B</t>
        </is>
      </c>
      <c r="C172" s="3" t="n">
        <v>3</v>
      </c>
      <c r="D172" s="3" t="inlineStr">
        <is>
          <t>Decommission</t>
        </is>
      </c>
      <c r="E172" s="3" t="inlineStr">
        <is>
          <t>DECOM-AL-Random-Full-Sand-Few</t>
        </is>
      </c>
      <c r="F172" s="3" t="inlineStr">
        <is>
          <t>Decommission: few: 1-10 removals, random first, full removal (100%; $50,000 + $1,000/m), freed area to sand, Alabama (west of the Perdido River)</t>
        </is>
      </c>
      <c r="G172" s="3" t="inlineStr">
        <is>
          <t>Alabama (west of the Perdido River)</t>
        </is>
      </c>
      <c r="H172" s="3" t="n"/>
      <c r="I172" s="3" t="n"/>
      <c r="J172" s="3" t="n"/>
      <c r="K172" s="3" t="n"/>
      <c r="L172" s="3" t="inlineStr">
        <is>
          <t>Random</t>
        </is>
      </c>
      <c r="M172" s="3" t="inlineStr">
        <is>
          <t>Full removal (100%; $50,000 + $1,000/m)</t>
        </is>
      </c>
      <c r="N172" s="3" t="inlineStr">
        <is>
          <t>Sand</t>
        </is>
      </c>
      <c r="O172" s="3" t="inlineStr">
        <is>
          <t>Few: 1-10 removals</t>
        </is>
      </c>
      <c r="P172" s="3" t="n"/>
      <c r="Q172" s="3" t="n"/>
      <c r="R172"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Random
Decommissioning &gt; Freed area becomes: sand
Decommissioning &gt; Min removals: 1
Decommissioning &gt; Max removals: 10
Decommissioning &gt; Fraction of each structure removed: 1.0
Live solver / Search &gt; Number of scenarios to run: 100
Search &gt; Search algorithm: Random search
Search &gt; Random seed: 1,171</t>
        </is>
      </c>
      <c r="S172" s="3" t="inlineStr">
        <is>
          <t>B171_DECOM-AL-Random-Full-Sand-Few.json</t>
        </is>
      </c>
      <c r="T172" s="3" t="n">
        <v>100</v>
      </c>
      <c r="U172" s="3" t="n">
        <v>1171</v>
      </c>
      <c r="V172" s="3" t="n"/>
      <c r="W172" s="3" t="n">
        <v>196</v>
      </c>
      <c r="X172" s="3">
        <f>ROUND((T172+1)*'Read me'!$C$14/60,1)</f>
        <v/>
      </c>
      <c r="Y172" s="8" t="n"/>
      <c r="Z172" s="8" t="inlineStr">
        <is>
          <t>Not started</t>
        </is>
      </c>
      <c r="AA172" s="8" t="n"/>
      <c r="AB172" s="8" t="n"/>
      <c r="AC172" s="8" t="n"/>
      <c r="AD172" s="8" t="n"/>
      <c r="AE172" s="8" t="n"/>
      <c r="AF172" s="8" t="n"/>
      <c r="AG172" s="8" t="n"/>
      <c r="AH172" s="8" t="n"/>
      <c r="AI172" s="8" t="n"/>
      <c r="AJ172" s="8">
        <f>IF(OR(AH172="",'Submission &amp; QC'!$C$18=""),"",IF(AND(ABS(AH172-'Submission &amp; QC'!$C$18)&lt;=0.0005*ABS('Submission &amp; QC'!$C$18),ABS(AI172-'Submission &amp; QC'!$C$19)&lt;=0.0005*ABS('Submission &amp; QC'!$C$19)),"Pass","Fail"))</f>
        <v/>
      </c>
      <c r="AK172" s="8" t="n"/>
      <c r="AL172" s="8" t="n"/>
    </row>
    <row r="173" ht="210" customHeight="1">
      <c r="A173" s="3" t="inlineStr">
        <is>
          <t>B172</t>
        </is>
      </c>
      <c r="B173" s="9" t="inlineStr">
        <is>
          <t>B</t>
        </is>
      </c>
      <c r="C173" s="3" t="n">
        <v>3</v>
      </c>
      <c r="D173" s="3" t="inlineStr">
        <is>
          <t>Decommission</t>
        </is>
      </c>
      <c r="E173" s="3" t="inlineStr">
        <is>
          <t>DECOM-AL-Random-Full-Sand-Many</t>
        </is>
      </c>
      <c r="F173" s="3" t="inlineStr">
        <is>
          <t>Decommission: many: 11-50 removals, random first, full removal (100%; $50,000 + $1,000/m), freed area to sand, Alabama (west of the Perdido River)</t>
        </is>
      </c>
      <c r="G173" s="3" t="inlineStr">
        <is>
          <t>Alabama (west of the Perdido River)</t>
        </is>
      </c>
      <c r="H173" s="3" t="n"/>
      <c r="I173" s="3" t="n"/>
      <c r="J173" s="3" t="n"/>
      <c r="K173" s="3" t="n"/>
      <c r="L173" s="3" t="inlineStr">
        <is>
          <t>Random</t>
        </is>
      </c>
      <c r="M173" s="3" t="inlineStr">
        <is>
          <t>Full removal (100%; $50,000 + $1,000/m)</t>
        </is>
      </c>
      <c r="N173" s="3" t="inlineStr">
        <is>
          <t>Sand</t>
        </is>
      </c>
      <c r="O173" s="3" t="inlineStr">
        <is>
          <t>Many: 11-50 removals</t>
        </is>
      </c>
      <c r="P173" s="3" t="n"/>
      <c r="Q173" s="3" t="n"/>
      <c r="R173"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Random
Decommissioning &gt; Freed area becomes: sand
Decommissioning &gt; Min removals: 11
Decommissioning &gt; Max removals: 50
Decommissioning &gt; Fraction of each structure removed: 1.0
Live solver / Search &gt; Number of scenarios to run: 100
Search &gt; Search algorithm: Random search
Search &gt; Random seed: 1,172</t>
        </is>
      </c>
      <c r="S173" s="3" t="inlineStr">
        <is>
          <t>B172_DECOM-AL-Random-Full-Sand-Many.json</t>
        </is>
      </c>
      <c r="T173" s="3" t="n">
        <v>100</v>
      </c>
      <c r="U173" s="3" t="n">
        <v>1172</v>
      </c>
      <c r="V173" s="3" t="n"/>
      <c r="W173" s="3" t="n">
        <v>196</v>
      </c>
      <c r="X173" s="3">
        <f>ROUND((T173+1)*'Read me'!$C$14/60,1)</f>
        <v/>
      </c>
      <c r="Y173" s="8" t="n"/>
      <c r="Z173" s="8" t="inlineStr">
        <is>
          <t>Not started</t>
        </is>
      </c>
      <c r="AA173" s="8" t="n"/>
      <c r="AB173" s="8" t="n"/>
      <c r="AC173" s="8" t="n"/>
      <c r="AD173" s="8" t="n"/>
      <c r="AE173" s="8" t="n"/>
      <c r="AF173" s="8" t="n"/>
      <c r="AG173" s="8" t="n"/>
      <c r="AH173" s="8" t="n"/>
      <c r="AI173" s="8" t="n"/>
      <c r="AJ173" s="8">
        <f>IF(OR(AH173="",'Submission &amp; QC'!$C$18=""),"",IF(AND(ABS(AH173-'Submission &amp; QC'!$C$18)&lt;=0.0005*ABS('Submission &amp; QC'!$C$18),ABS(AI173-'Submission &amp; QC'!$C$19)&lt;=0.0005*ABS('Submission &amp; QC'!$C$19)),"Pass","Fail"))</f>
        <v/>
      </c>
      <c r="AK173" s="8" t="n"/>
      <c r="AL173" s="8" t="n"/>
    </row>
    <row r="174" ht="210" customHeight="1">
      <c r="A174" s="3" t="inlineStr">
        <is>
          <t>B173</t>
        </is>
      </c>
      <c r="B174" s="9" t="inlineStr">
        <is>
          <t>B</t>
        </is>
      </c>
      <c r="C174" s="3" t="n">
        <v>3</v>
      </c>
      <c r="D174" s="3" t="inlineStr">
        <is>
          <t>Decommission</t>
        </is>
      </c>
      <c r="E174" s="3" t="inlineStr">
        <is>
          <t>DECOM-AL-Random-Partial-Prop-Few</t>
        </is>
      </c>
      <c r="F174" s="3" t="inlineStr">
        <is>
          <t>Decommission: few: 1-10 removals, random first, partial removal / toppling (50%; $30,000 + $600/m), freed area to natural habitats, proportionally, Alabama (west of the Perdido River)</t>
        </is>
      </c>
      <c r="G174" s="3" t="inlineStr">
        <is>
          <t>Alabama (west of the Perdido River)</t>
        </is>
      </c>
      <c r="H174" s="3" t="n"/>
      <c r="I174" s="3" t="n"/>
      <c r="J174" s="3" t="n"/>
      <c r="K174" s="3" t="n"/>
      <c r="L174" s="3" t="inlineStr">
        <is>
          <t>Random</t>
        </is>
      </c>
      <c r="M174" s="3" t="inlineStr">
        <is>
          <t>Partial removal / toppling (50%; $30,000 + $600/m)</t>
        </is>
      </c>
      <c r="N174" s="3" t="inlineStr">
        <is>
          <t>Natural habitats, proportionally</t>
        </is>
      </c>
      <c r="O174" s="3" t="inlineStr">
        <is>
          <t>Few: 1-10 removals</t>
        </is>
      </c>
      <c r="P174" s="3" t="n"/>
      <c r="Q174" s="3" t="n"/>
      <c r="R174"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Random
Decommissioning &gt; Freed area becomes: Natural habitats, proportionally
Decommissioning &gt; Min removals: 1
Decommissioning &gt; Max removals: 10
Decommissioning &gt; Fraction of each structure removed: 0.5
Live solver / Search &gt; Number of scenarios to run: 100
Search &gt; Search algorithm: Random search
Search &gt; Random seed: 1,173</t>
        </is>
      </c>
      <c r="S174" s="3" t="inlineStr">
        <is>
          <t>B173_DECOM-AL-Random-Partial-Prop-Few.json</t>
        </is>
      </c>
      <c r="T174" s="3" t="n">
        <v>100</v>
      </c>
      <c r="U174" s="3" t="n">
        <v>1173</v>
      </c>
      <c r="V174" s="3" t="n"/>
      <c r="W174" s="3" t="n">
        <v>196</v>
      </c>
      <c r="X174" s="3">
        <f>ROUND((T174+1)*'Read me'!$C$14/60,1)</f>
        <v/>
      </c>
      <c r="Y174" s="8" t="n"/>
      <c r="Z174" s="8" t="inlineStr">
        <is>
          <t>Not started</t>
        </is>
      </c>
      <c r="AA174" s="8" t="n"/>
      <c r="AB174" s="8" t="n"/>
      <c r="AC174" s="8" t="n"/>
      <c r="AD174" s="8" t="n"/>
      <c r="AE174" s="8" t="n"/>
      <c r="AF174" s="8" t="n"/>
      <c r="AG174" s="8" t="n"/>
      <c r="AH174" s="8" t="n"/>
      <c r="AI174" s="8" t="n"/>
      <c r="AJ174" s="8">
        <f>IF(OR(AH174="",'Submission &amp; QC'!$C$18=""),"",IF(AND(ABS(AH174-'Submission &amp; QC'!$C$18)&lt;=0.0005*ABS('Submission &amp; QC'!$C$18),ABS(AI174-'Submission &amp; QC'!$C$19)&lt;=0.0005*ABS('Submission &amp; QC'!$C$19)),"Pass","Fail"))</f>
        <v/>
      </c>
      <c r="AK174" s="8" t="n"/>
      <c r="AL174" s="8" t="n"/>
    </row>
    <row r="175" ht="210" customHeight="1">
      <c r="A175" s="3" t="inlineStr">
        <is>
          <t>B174</t>
        </is>
      </c>
      <c r="B175" s="9" t="inlineStr">
        <is>
          <t>B</t>
        </is>
      </c>
      <c r="C175" s="3" t="n">
        <v>3</v>
      </c>
      <c r="D175" s="3" t="inlineStr">
        <is>
          <t>Decommission</t>
        </is>
      </c>
      <c r="E175" s="3" t="inlineStr">
        <is>
          <t>DECOM-AL-Random-Partial-Prop-Many</t>
        </is>
      </c>
      <c r="F175" s="3" t="inlineStr">
        <is>
          <t>Decommission: many: 11-50 removals, random first, partial removal / toppling (50%; $30,000 + $600/m), freed area to natural habitats, proportionally, Alabama (west of the Perdido River)</t>
        </is>
      </c>
      <c r="G175" s="3" t="inlineStr">
        <is>
          <t>Alabama (west of the Perdido River)</t>
        </is>
      </c>
      <c r="H175" s="3" t="n"/>
      <c r="I175" s="3" t="n"/>
      <c r="J175" s="3" t="n"/>
      <c r="K175" s="3" t="n"/>
      <c r="L175" s="3" t="inlineStr">
        <is>
          <t>Random</t>
        </is>
      </c>
      <c r="M175" s="3" t="inlineStr">
        <is>
          <t>Partial removal / toppling (50%; $30,000 + $600/m)</t>
        </is>
      </c>
      <c r="N175" s="3" t="inlineStr">
        <is>
          <t>Natural habitats, proportionally</t>
        </is>
      </c>
      <c r="O175" s="3" t="inlineStr">
        <is>
          <t>Many: 11-50 removals</t>
        </is>
      </c>
      <c r="P175" s="3" t="n"/>
      <c r="Q175" s="3" t="n"/>
      <c r="R175"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Random
Decommissioning &gt; Freed area becomes: Natural habitats, proportionally
Decommissioning &gt; Min removals: 11
Decommissioning &gt; Max removals: 50
Decommissioning &gt; Fraction of each structure removed: 0.5
Live solver / Search &gt; Number of scenarios to run: 100
Search &gt; Search algorithm: Random search
Search &gt; Random seed: 1,174</t>
        </is>
      </c>
      <c r="S175" s="3" t="inlineStr">
        <is>
          <t>B174_DECOM-AL-Random-Partial-Prop-Many.json</t>
        </is>
      </c>
      <c r="T175" s="3" t="n">
        <v>100</v>
      </c>
      <c r="U175" s="3" t="n">
        <v>1174</v>
      </c>
      <c r="V175" s="3" t="n"/>
      <c r="W175" s="3" t="n">
        <v>196</v>
      </c>
      <c r="X175" s="3">
        <f>ROUND((T175+1)*'Read me'!$C$14/60,1)</f>
        <v/>
      </c>
      <c r="Y175" s="8" t="n"/>
      <c r="Z175" s="8" t="inlineStr">
        <is>
          <t>Not started</t>
        </is>
      </c>
      <c r="AA175" s="8" t="n"/>
      <c r="AB175" s="8" t="n"/>
      <c r="AC175" s="8" t="n"/>
      <c r="AD175" s="8" t="n"/>
      <c r="AE175" s="8" t="n"/>
      <c r="AF175" s="8" t="n"/>
      <c r="AG175" s="8" t="n"/>
      <c r="AH175" s="8" t="n"/>
      <c r="AI175" s="8" t="n"/>
      <c r="AJ175" s="8">
        <f>IF(OR(AH175="",'Submission &amp; QC'!$C$18=""),"",IF(AND(ABS(AH175-'Submission &amp; QC'!$C$18)&lt;=0.0005*ABS('Submission &amp; QC'!$C$18),ABS(AI175-'Submission &amp; QC'!$C$19)&lt;=0.0005*ABS('Submission &amp; QC'!$C$19)),"Pass","Fail"))</f>
        <v/>
      </c>
      <c r="AK175" s="8" t="n"/>
      <c r="AL175" s="8" t="n"/>
    </row>
    <row r="176" ht="210" customHeight="1">
      <c r="A176" s="3" t="inlineStr">
        <is>
          <t>B175</t>
        </is>
      </c>
      <c r="B176" s="9" t="inlineStr">
        <is>
          <t>B</t>
        </is>
      </c>
      <c r="C176" s="3" t="n">
        <v>3</v>
      </c>
      <c r="D176" s="3" t="inlineStr">
        <is>
          <t>Decommission</t>
        </is>
      </c>
      <c r="E176" s="3" t="inlineStr">
        <is>
          <t>DECOM-AL-Random-Partial-Sand-Few</t>
        </is>
      </c>
      <c r="F176" s="3" t="inlineStr">
        <is>
          <t>Decommission: few: 1-10 removals, random first, partial removal / toppling (50%; $30,000 + $600/m), freed area to sand, Alabama (west of the Perdido River)</t>
        </is>
      </c>
      <c r="G176" s="3" t="inlineStr">
        <is>
          <t>Alabama (west of the Perdido River)</t>
        </is>
      </c>
      <c r="H176" s="3" t="n"/>
      <c r="I176" s="3" t="n"/>
      <c r="J176" s="3" t="n"/>
      <c r="K176" s="3" t="n"/>
      <c r="L176" s="3" t="inlineStr">
        <is>
          <t>Random</t>
        </is>
      </c>
      <c r="M176" s="3" t="inlineStr">
        <is>
          <t>Partial removal / toppling (50%; $30,000 + $600/m)</t>
        </is>
      </c>
      <c r="N176" s="3" t="inlineStr">
        <is>
          <t>Sand</t>
        </is>
      </c>
      <c r="O176" s="3" t="inlineStr">
        <is>
          <t>Few: 1-10 removals</t>
        </is>
      </c>
      <c r="P176" s="3" t="n"/>
      <c r="Q176" s="3" t="n"/>
      <c r="R176"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Random
Decommissioning &gt; Freed area becomes: sand
Decommissioning &gt; Min removals: 1
Decommissioning &gt; Max removals: 10
Decommissioning &gt; Fraction of each structure removed: 0.5
Live solver / Search &gt; Number of scenarios to run: 100
Search &gt; Search algorithm: Random search
Search &gt; Random seed: 1,175</t>
        </is>
      </c>
      <c r="S176" s="3" t="inlineStr">
        <is>
          <t>B175_DECOM-AL-Random-Partial-Sand-Few.json</t>
        </is>
      </c>
      <c r="T176" s="3" t="n">
        <v>100</v>
      </c>
      <c r="U176" s="3" t="n">
        <v>1175</v>
      </c>
      <c r="V176" s="3" t="n"/>
      <c r="W176" s="3" t="n">
        <v>196</v>
      </c>
      <c r="X176" s="3">
        <f>ROUND((T176+1)*'Read me'!$C$14/60,1)</f>
        <v/>
      </c>
      <c r="Y176" s="8" t="n"/>
      <c r="Z176" s="8" t="inlineStr">
        <is>
          <t>Not started</t>
        </is>
      </c>
      <c r="AA176" s="8" t="n"/>
      <c r="AB176" s="8" t="n"/>
      <c r="AC176" s="8" t="n"/>
      <c r="AD176" s="8" t="n"/>
      <c r="AE176" s="8" t="n"/>
      <c r="AF176" s="8" t="n"/>
      <c r="AG176" s="8" t="n"/>
      <c r="AH176" s="8" t="n"/>
      <c r="AI176" s="8" t="n"/>
      <c r="AJ176" s="8">
        <f>IF(OR(AH176="",'Submission &amp; QC'!$C$18=""),"",IF(AND(ABS(AH176-'Submission &amp; QC'!$C$18)&lt;=0.0005*ABS('Submission &amp; QC'!$C$18),ABS(AI176-'Submission &amp; QC'!$C$19)&lt;=0.0005*ABS('Submission &amp; QC'!$C$19)),"Pass","Fail"))</f>
        <v/>
      </c>
      <c r="AK176" s="8" t="n"/>
      <c r="AL176" s="8" t="n"/>
    </row>
    <row r="177" ht="210" customHeight="1">
      <c r="A177" s="3" t="inlineStr">
        <is>
          <t>B176</t>
        </is>
      </c>
      <c r="B177" s="9" t="inlineStr">
        <is>
          <t>B</t>
        </is>
      </c>
      <c r="C177" s="3" t="n">
        <v>3</v>
      </c>
      <c r="D177" s="3" t="inlineStr">
        <is>
          <t>Decommission</t>
        </is>
      </c>
      <c r="E177" s="3" t="inlineStr">
        <is>
          <t>DECOM-AL-Random-Partial-Sand-Many</t>
        </is>
      </c>
      <c r="F177" s="3" t="inlineStr">
        <is>
          <t>Decommission: many: 11-50 removals, random first, partial removal / toppling (50%; $30,000 + $600/m), freed area to sand, Alabama (west of the Perdido River)</t>
        </is>
      </c>
      <c r="G177" s="3" t="inlineStr">
        <is>
          <t>Alabama (west of the Perdido River)</t>
        </is>
      </c>
      <c r="H177" s="3" t="n"/>
      <c r="I177" s="3" t="n"/>
      <c r="J177" s="3" t="n"/>
      <c r="K177" s="3" t="n"/>
      <c r="L177" s="3" t="inlineStr">
        <is>
          <t>Random</t>
        </is>
      </c>
      <c r="M177" s="3" t="inlineStr">
        <is>
          <t>Partial removal / toppling (50%; $30,000 + $600/m)</t>
        </is>
      </c>
      <c r="N177" s="3" t="inlineStr">
        <is>
          <t>Sand</t>
        </is>
      </c>
      <c r="O177" s="3" t="inlineStr">
        <is>
          <t>Many: 11-50 removals</t>
        </is>
      </c>
      <c r="P177" s="3" t="n"/>
      <c r="Q177" s="3" t="n"/>
      <c r="R177"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Random
Decommissioning &gt; Freed area becomes: sand
Decommissioning &gt; Min removals: 11
Decommissioning &gt; Max removals: 50
Decommissioning &gt; Fraction of each structure removed: 0.5
Live solver / Search &gt; Number of scenarios to run: 100
Search &gt; Search algorithm: Random search
Search &gt; Random seed: 1,176</t>
        </is>
      </c>
      <c r="S177" s="3" t="inlineStr">
        <is>
          <t>B176_DECOM-AL-Random-Partial-Sand-Many.json</t>
        </is>
      </c>
      <c r="T177" s="3" t="n">
        <v>100</v>
      </c>
      <c r="U177" s="3" t="n">
        <v>1176</v>
      </c>
      <c r="V177" s="3" t="n"/>
      <c r="W177" s="3" t="n">
        <v>196</v>
      </c>
      <c r="X177" s="3">
        <f>ROUND((T177+1)*'Read me'!$C$14/60,1)</f>
        <v/>
      </c>
      <c r="Y177" s="8" t="n"/>
      <c r="Z177" s="8" t="inlineStr">
        <is>
          <t>Not started</t>
        </is>
      </c>
      <c r="AA177" s="8" t="n"/>
      <c r="AB177" s="8" t="n"/>
      <c r="AC177" s="8" t="n"/>
      <c r="AD177" s="8" t="n"/>
      <c r="AE177" s="8" t="n"/>
      <c r="AF177" s="8" t="n"/>
      <c r="AG177" s="8" t="n"/>
      <c r="AH177" s="8" t="n"/>
      <c r="AI177" s="8" t="n"/>
      <c r="AJ177" s="8">
        <f>IF(OR(AH177="",'Submission &amp; QC'!$C$18=""),"",IF(AND(ABS(AH177-'Submission &amp; QC'!$C$18)&lt;=0.0005*ABS('Submission &amp; QC'!$C$18),ABS(AI177-'Submission &amp; QC'!$C$19)&lt;=0.0005*ABS('Submission &amp; QC'!$C$19)),"Pass","Fail"))</f>
        <v/>
      </c>
      <c r="AK177" s="8" t="n"/>
      <c r="AL177" s="8" t="n"/>
    </row>
    <row r="178" ht="210" customHeight="1">
      <c r="A178" s="3" t="inlineStr">
        <is>
          <t>B177</t>
        </is>
      </c>
      <c r="B178" s="9" t="inlineStr">
        <is>
          <t>B</t>
        </is>
      </c>
      <c r="C178" s="3" t="n">
        <v>3</v>
      </c>
      <c r="D178" s="3" t="inlineStr">
        <is>
          <t>Decommission</t>
        </is>
      </c>
      <c r="E178" s="3" t="inlineStr">
        <is>
          <t>DECOM-AL-Shallowest-Full-Prop-Few</t>
        </is>
      </c>
      <c r="F178" s="3" t="inlineStr">
        <is>
          <t>Decommission: few: 1-10 removals, shallowest first, full removal (100%; $50,000 + $1,000/m), freed area to natural habitats, proportionally, Alabama (west of the Perdido River)</t>
        </is>
      </c>
      <c r="G178" s="3" t="inlineStr">
        <is>
          <t>Alabama (west of the Perdido River)</t>
        </is>
      </c>
      <c r="H178" s="3" t="n"/>
      <c r="I178" s="3" t="n"/>
      <c r="J178" s="3" t="n"/>
      <c r="K178" s="3" t="n"/>
      <c r="L178" s="3" t="inlineStr">
        <is>
          <t>Shallowest</t>
        </is>
      </c>
      <c r="M178" s="3" t="inlineStr">
        <is>
          <t>Full removal (100%; $50,000 + $1,000/m)</t>
        </is>
      </c>
      <c r="N178" s="3" t="inlineStr">
        <is>
          <t>Natural habitats, proportionally</t>
        </is>
      </c>
      <c r="O178" s="3" t="inlineStr">
        <is>
          <t>Few: 1-10 removals</t>
        </is>
      </c>
      <c r="P178" s="3" t="n"/>
      <c r="Q178" s="3" t="n"/>
      <c r="R178"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Prefer shallowest
Decommissioning &gt; Freed area becomes: Natural habitats, proportionally
Decommissioning &gt; Min removals: 1
Decommissioning &gt; Max removals: 10
Decommissioning &gt; Fraction of each structure removed: 1.0
Live solver / Search &gt; Number of scenarios to run: 100
Search &gt; Search algorithm: Random search
Search &gt; Random seed: 1,177</t>
        </is>
      </c>
      <c r="S178" s="3" t="inlineStr">
        <is>
          <t>B177_DECOM-AL-Shallowest-Full-Prop-Few.json</t>
        </is>
      </c>
      <c r="T178" s="3" t="n">
        <v>100</v>
      </c>
      <c r="U178" s="3" t="n">
        <v>1177</v>
      </c>
      <c r="V178" s="3" t="n"/>
      <c r="W178" s="3" t="n">
        <v>196</v>
      </c>
      <c r="X178" s="3">
        <f>ROUND((T178+1)*'Read me'!$C$14/60,1)</f>
        <v/>
      </c>
      <c r="Y178" s="8" t="n"/>
      <c r="Z178" s="8" t="inlineStr">
        <is>
          <t>Not started</t>
        </is>
      </c>
      <c r="AA178" s="8" t="n"/>
      <c r="AB178" s="8" t="n"/>
      <c r="AC178" s="8" t="n"/>
      <c r="AD178" s="8" t="n"/>
      <c r="AE178" s="8" t="n"/>
      <c r="AF178" s="8" t="n"/>
      <c r="AG178" s="8" t="n"/>
      <c r="AH178" s="8" t="n"/>
      <c r="AI178" s="8" t="n"/>
      <c r="AJ178" s="8">
        <f>IF(OR(AH178="",'Submission &amp; QC'!$C$18=""),"",IF(AND(ABS(AH178-'Submission &amp; QC'!$C$18)&lt;=0.0005*ABS('Submission &amp; QC'!$C$18),ABS(AI178-'Submission &amp; QC'!$C$19)&lt;=0.0005*ABS('Submission &amp; QC'!$C$19)),"Pass","Fail"))</f>
        <v/>
      </c>
      <c r="AK178" s="8" t="n"/>
      <c r="AL178" s="8" t="n"/>
    </row>
    <row r="179" ht="210" customHeight="1">
      <c r="A179" s="3" t="inlineStr">
        <is>
          <t>B178</t>
        </is>
      </c>
      <c r="B179" s="9" t="inlineStr">
        <is>
          <t>B</t>
        </is>
      </c>
      <c r="C179" s="3" t="n">
        <v>3</v>
      </c>
      <c r="D179" s="3" t="inlineStr">
        <is>
          <t>Decommission</t>
        </is>
      </c>
      <c r="E179" s="3" t="inlineStr">
        <is>
          <t>DECOM-AL-Shallowest-Full-Prop-Many</t>
        </is>
      </c>
      <c r="F179" s="3" t="inlineStr">
        <is>
          <t>Decommission: many: 11-50 removals, shallowest first, full removal (100%; $50,000 + $1,000/m), freed area to natural habitats, proportionally, Alabama (west of the Perdido River)</t>
        </is>
      </c>
      <c r="G179" s="3" t="inlineStr">
        <is>
          <t>Alabama (west of the Perdido River)</t>
        </is>
      </c>
      <c r="H179" s="3" t="n"/>
      <c r="I179" s="3" t="n"/>
      <c r="J179" s="3" t="n"/>
      <c r="K179" s="3" t="n"/>
      <c r="L179" s="3" t="inlineStr">
        <is>
          <t>Shallowest</t>
        </is>
      </c>
      <c r="M179" s="3" t="inlineStr">
        <is>
          <t>Full removal (100%; $50,000 + $1,000/m)</t>
        </is>
      </c>
      <c r="N179" s="3" t="inlineStr">
        <is>
          <t>Natural habitats, proportionally</t>
        </is>
      </c>
      <c r="O179" s="3" t="inlineStr">
        <is>
          <t>Many: 11-50 removals</t>
        </is>
      </c>
      <c r="P179" s="3" t="n"/>
      <c r="Q179" s="3" t="n"/>
      <c r="R179"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Prefer shallowest
Decommissioning &gt; Freed area becomes: Natural habitats, proportionally
Decommissioning &gt; Min removals: 11
Decommissioning &gt; Max removals: 50
Decommissioning &gt; Fraction of each structure removed: 1.0
Live solver / Search &gt; Number of scenarios to run: 100
Search &gt; Search algorithm: Random search
Search &gt; Random seed: 1,178</t>
        </is>
      </c>
      <c r="S179" s="3" t="inlineStr">
        <is>
          <t>B178_DECOM-AL-Shallowest-Full-Prop-Many.json</t>
        </is>
      </c>
      <c r="T179" s="3" t="n">
        <v>100</v>
      </c>
      <c r="U179" s="3" t="n">
        <v>1178</v>
      </c>
      <c r="V179" s="3" t="n"/>
      <c r="W179" s="3" t="n">
        <v>196</v>
      </c>
      <c r="X179" s="3">
        <f>ROUND((T179+1)*'Read me'!$C$14/60,1)</f>
        <v/>
      </c>
      <c r="Y179" s="8" t="n"/>
      <c r="Z179" s="8" t="inlineStr">
        <is>
          <t>Not started</t>
        </is>
      </c>
      <c r="AA179" s="8" t="n"/>
      <c r="AB179" s="8" t="n"/>
      <c r="AC179" s="8" t="n"/>
      <c r="AD179" s="8" t="n"/>
      <c r="AE179" s="8" t="n"/>
      <c r="AF179" s="8" t="n"/>
      <c r="AG179" s="8" t="n"/>
      <c r="AH179" s="8" t="n"/>
      <c r="AI179" s="8" t="n"/>
      <c r="AJ179" s="8">
        <f>IF(OR(AH179="",'Submission &amp; QC'!$C$18=""),"",IF(AND(ABS(AH179-'Submission &amp; QC'!$C$18)&lt;=0.0005*ABS('Submission &amp; QC'!$C$18),ABS(AI179-'Submission &amp; QC'!$C$19)&lt;=0.0005*ABS('Submission &amp; QC'!$C$19)),"Pass","Fail"))</f>
        <v/>
      </c>
      <c r="AK179" s="8" t="n"/>
      <c r="AL179" s="8" t="n"/>
    </row>
    <row r="180" ht="210" customHeight="1">
      <c r="A180" s="3" t="inlineStr">
        <is>
          <t>B179</t>
        </is>
      </c>
      <c r="B180" s="9" t="inlineStr">
        <is>
          <t>B</t>
        </is>
      </c>
      <c r="C180" s="3" t="n">
        <v>3</v>
      </c>
      <c r="D180" s="3" t="inlineStr">
        <is>
          <t>Decommission</t>
        </is>
      </c>
      <c r="E180" s="3" t="inlineStr">
        <is>
          <t>DECOM-AL-Shallowest-Full-Sand-Few</t>
        </is>
      </c>
      <c r="F180" s="3" t="inlineStr">
        <is>
          <t>Decommission: few: 1-10 removals, shallowest first, full removal (100%; $50,000 + $1,000/m), freed area to sand, Alabama (west of the Perdido River)</t>
        </is>
      </c>
      <c r="G180" s="3" t="inlineStr">
        <is>
          <t>Alabama (west of the Perdido River)</t>
        </is>
      </c>
      <c r="H180" s="3" t="n"/>
      <c r="I180" s="3" t="n"/>
      <c r="J180" s="3" t="n"/>
      <c r="K180" s="3" t="n"/>
      <c r="L180" s="3" t="inlineStr">
        <is>
          <t>Shallowest</t>
        </is>
      </c>
      <c r="M180" s="3" t="inlineStr">
        <is>
          <t>Full removal (100%; $50,000 + $1,000/m)</t>
        </is>
      </c>
      <c r="N180" s="3" t="inlineStr">
        <is>
          <t>Sand</t>
        </is>
      </c>
      <c r="O180" s="3" t="inlineStr">
        <is>
          <t>Few: 1-10 removals</t>
        </is>
      </c>
      <c r="P180" s="3" t="n"/>
      <c r="Q180" s="3" t="n"/>
      <c r="R180"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Prefer shallowest
Decommissioning &gt; Freed area becomes: sand
Decommissioning &gt; Min removals: 1
Decommissioning &gt; Max removals: 10
Decommissioning &gt; Fraction of each structure removed: 1.0
Live solver / Search &gt; Number of scenarios to run: 100
Search &gt; Search algorithm: Random search
Search &gt; Random seed: 1,179</t>
        </is>
      </c>
      <c r="S180" s="3" t="inlineStr">
        <is>
          <t>B179_DECOM-AL-Shallowest-Full-Sand-Few.json</t>
        </is>
      </c>
      <c r="T180" s="3" t="n">
        <v>100</v>
      </c>
      <c r="U180" s="3" t="n">
        <v>1179</v>
      </c>
      <c r="V180" s="3" t="n"/>
      <c r="W180" s="3" t="n">
        <v>196</v>
      </c>
      <c r="X180" s="3">
        <f>ROUND((T180+1)*'Read me'!$C$14/60,1)</f>
        <v/>
      </c>
      <c r="Y180" s="8" t="n"/>
      <c r="Z180" s="8" t="inlineStr">
        <is>
          <t>Not started</t>
        </is>
      </c>
      <c r="AA180" s="8" t="n"/>
      <c r="AB180" s="8" t="n"/>
      <c r="AC180" s="8" t="n"/>
      <c r="AD180" s="8" t="n"/>
      <c r="AE180" s="8" t="n"/>
      <c r="AF180" s="8" t="n"/>
      <c r="AG180" s="8" t="n"/>
      <c r="AH180" s="8" t="n"/>
      <c r="AI180" s="8" t="n"/>
      <c r="AJ180" s="8">
        <f>IF(OR(AH180="",'Submission &amp; QC'!$C$18=""),"",IF(AND(ABS(AH180-'Submission &amp; QC'!$C$18)&lt;=0.0005*ABS('Submission &amp; QC'!$C$18),ABS(AI180-'Submission &amp; QC'!$C$19)&lt;=0.0005*ABS('Submission &amp; QC'!$C$19)),"Pass","Fail"))</f>
        <v/>
      </c>
      <c r="AK180" s="8" t="n"/>
      <c r="AL180" s="8" t="n"/>
    </row>
    <row r="181" ht="210" customHeight="1">
      <c r="A181" s="3" t="inlineStr">
        <is>
          <t>B180</t>
        </is>
      </c>
      <c r="B181" s="9" t="inlineStr">
        <is>
          <t>B</t>
        </is>
      </c>
      <c r="C181" s="3" t="n">
        <v>3</v>
      </c>
      <c r="D181" s="3" t="inlineStr">
        <is>
          <t>Decommission</t>
        </is>
      </c>
      <c r="E181" s="3" t="inlineStr">
        <is>
          <t>DECOM-AL-Shallowest-Full-Sand-Many</t>
        </is>
      </c>
      <c r="F181" s="3" t="inlineStr">
        <is>
          <t>Decommission: many: 11-50 removals, shallowest first, full removal (100%; $50,000 + $1,000/m), freed area to sand, Alabama (west of the Perdido River)</t>
        </is>
      </c>
      <c r="G181" s="3" t="inlineStr">
        <is>
          <t>Alabama (west of the Perdido River)</t>
        </is>
      </c>
      <c r="H181" s="3" t="n"/>
      <c r="I181" s="3" t="n"/>
      <c r="J181" s="3" t="n"/>
      <c r="K181" s="3" t="n"/>
      <c r="L181" s="3" t="inlineStr">
        <is>
          <t>Shallowest</t>
        </is>
      </c>
      <c r="M181" s="3" t="inlineStr">
        <is>
          <t>Full removal (100%; $50,000 + $1,000/m)</t>
        </is>
      </c>
      <c r="N181" s="3" t="inlineStr">
        <is>
          <t>Sand</t>
        </is>
      </c>
      <c r="O181" s="3" t="inlineStr">
        <is>
          <t>Many: 11-50 removals</t>
        </is>
      </c>
      <c r="P181" s="3" t="n"/>
      <c r="Q181" s="3" t="n"/>
      <c r="R181"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Prefer shallowest
Decommissioning &gt; Freed area becomes: sand
Decommissioning &gt; Min removals: 11
Decommissioning &gt; Max removals: 50
Decommissioning &gt; Fraction of each structure removed: 1.0
Live solver / Search &gt; Number of scenarios to run: 100
Search &gt; Search algorithm: Random search
Search &gt; Random seed: 1,180</t>
        </is>
      </c>
      <c r="S181" s="3" t="inlineStr">
        <is>
          <t>B180_DECOM-AL-Shallowest-Full-Sand-Many.json</t>
        </is>
      </c>
      <c r="T181" s="3" t="n">
        <v>100</v>
      </c>
      <c r="U181" s="3" t="n">
        <v>1180</v>
      </c>
      <c r="V181" s="3" t="n"/>
      <c r="W181" s="3" t="n">
        <v>196</v>
      </c>
      <c r="X181" s="3">
        <f>ROUND((T181+1)*'Read me'!$C$14/60,1)</f>
        <v/>
      </c>
      <c r="Y181" s="8" t="n"/>
      <c r="Z181" s="8" t="inlineStr">
        <is>
          <t>Not started</t>
        </is>
      </c>
      <c r="AA181" s="8" t="n"/>
      <c r="AB181" s="8" t="n"/>
      <c r="AC181" s="8" t="n"/>
      <c r="AD181" s="8" t="n"/>
      <c r="AE181" s="8" t="n"/>
      <c r="AF181" s="8" t="n"/>
      <c r="AG181" s="8" t="n"/>
      <c r="AH181" s="8" t="n"/>
      <c r="AI181" s="8" t="n"/>
      <c r="AJ181" s="8">
        <f>IF(OR(AH181="",'Submission &amp; QC'!$C$18=""),"",IF(AND(ABS(AH181-'Submission &amp; QC'!$C$18)&lt;=0.0005*ABS('Submission &amp; QC'!$C$18),ABS(AI181-'Submission &amp; QC'!$C$19)&lt;=0.0005*ABS('Submission &amp; QC'!$C$19)),"Pass","Fail"))</f>
        <v/>
      </c>
      <c r="AK181" s="8" t="n"/>
      <c r="AL181" s="8" t="n"/>
    </row>
    <row r="182" ht="210" customHeight="1">
      <c r="A182" s="3" t="inlineStr">
        <is>
          <t>B181</t>
        </is>
      </c>
      <c r="B182" s="9" t="inlineStr">
        <is>
          <t>B</t>
        </is>
      </c>
      <c r="C182" s="3" t="n">
        <v>3</v>
      </c>
      <c r="D182" s="3" t="inlineStr">
        <is>
          <t>Decommission</t>
        </is>
      </c>
      <c r="E182" s="3" t="inlineStr">
        <is>
          <t>DECOM-AL-Shallowest-Partial-Prop-Few</t>
        </is>
      </c>
      <c r="F182" s="3" t="inlineStr">
        <is>
          <t>Decommission: few: 1-10 removals, shallowest first, partial removal / toppling (50%; $30,000 + $600/m), freed area to natural habitats, proportionally, Alabama (west of the Perdido River)</t>
        </is>
      </c>
      <c r="G182" s="3" t="inlineStr">
        <is>
          <t>Alabama (west of the Perdido River)</t>
        </is>
      </c>
      <c r="H182" s="3" t="n"/>
      <c r="I182" s="3" t="n"/>
      <c r="J182" s="3" t="n"/>
      <c r="K182" s="3" t="n"/>
      <c r="L182" s="3" t="inlineStr">
        <is>
          <t>Shallowest</t>
        </is>
      </c>
      <c r="M182" s="3" t="inlineStr">
        <is>
          <t>Partial removal / toppling (50%; $30,000 + $600/m)</t>
        </is>
      </c>
      <c r="N182" s="3" t="inlineStr">
        <is>
          <t>Natural habitats, proportionally</t>
        </is>
      </c>
      <c r="O182" s="3" t="inlineStr">
        <is>
          <t>Few: 1-10 removals</t>
        </is>
      </c>
      <c r="P182" s="3" t="n"/>
      <c r="Q182" s="3" t="n"/>
      <c r="R182"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Prefer shallowest
Decommissioning &gt; Freed area becomes: Natural habitats, proportionally
Decommissioning &gt; Min removals: 1
Decommissioning &gt; Max removals: 10
Decommissioning &gt; Fraction of each structure removed: 0.5
Live solver / Search &gt; Number of scenarios to run: 100
Search &gt; Search algorithm: Random search
Search &gt; Random seed: 1,181</t>
        </is>
      </c>
      <c r="S182" s="3" t="inlineStr">
        <is>
          <t>B181_DECOM-AL-Shallowest-Partial-Prop-Few.json</t>
        </is>
      </c>
      <c r="T182" s="3" t="n">
        <v>100</v>
      </c>
      <c r="U182" s="3" t="n">
        <v>1181</v>
      </c>
      <c r="V182" s="3" t="n"/>
      <c r="W182" s="3" t="n">
        <v>196</v>
      </c>
      <c r="X182" s="3">
        <f>ROUND((T182+1)*'Read me'!$C$14/60,1)</f>
        <v/>
      </c>
      <c r="Y182" s="8" t="n"/>
      <c r="Z182" s="8" t="inlineStr">
        <is>
          <t>Not started</t>
        </is>
      </c>
      <c r="AA182" s="8" t="n"/>
      <c r="AB182" s="8" t="n"/>
      <c r="AC182" s="8" t="n"/>
      <c r="AD182" s="8" t="n"/>
      <c r="AE182" s="8" t="n"/>
      <c r="AF182" s="8" t="n"/>
      <c r="AG182" s="8" t="n"/>
      <c r="AH182" s="8" t="n"/>
      <c r="AI182" s="8" t="n"/>
      <c r="AJ182" s="8">
        <f>IF(OR(AH182="",'Submission &amp; QC'!$C$18=""),"",IF(AND(ABS(AH182-'Submission &amp; QC'!$C$18)&lt;=0.0005*ABS('Submission &amp; QC'!$C$18),ABS(AI182-'Submission &amp; QC'!$C$19)&lt;=0.0005*ABS('Submission &amp; QC'!$C$19)),"Pass","Fail"))</f>
        <v/>
      </c>
      <c r="AK182" s="8" t="n"/>
      <c r="AL182" s="8" t="n"/>
    </row>
    <row r="183" ht="210" customHeight="1">
      <c r="A183" s="3" t="inlineStr">
        <is>
          <t>B182</t>
        </is>
      </c>
      <c r="B183" s="9" t="inlineStr">
        <is>
          <t>B</t>
        </is>
      </c>
      <c r="C183" s="3" t="n">
        <v>3</v>
      </c>
      <c r="D183" s="3" t="inlineStr">
        <is>
          <t>Decommission</t>
        </is>
      </c>
      <c r="E183" s="3" t="inlineStr">
        <is>
          <t>DECOM-AL-Shallowest-Partial-Prop-Many</t>
        </is>
      </c>
      <c r="F183" s="3" t="inlineStr">
        <is>
          <t>Decommission: many: 11-50 removals, shallowest first, partial removal / toppling (50%; $30,000 + $600/m), freed area to natural habitats, proportionally, Alabama (west of the Perdido River)</t>
        </is>
      </c>
      <c r="G183" s="3" t="inlineStr">
        <is>
          <t>Alabama (west of the Perdido River)</t>
        </is>
      </c>
      <c r="H183" s="3" t="n"/>
      <c r="I183" s="3" t="n"/>
      <c r="J183" s="3" t="n"/>
      <c r="K183" s="3" t="n"/>
      <c r="L183" s="3" t="inlineStr">
        <is>
          <t>Shallowest</t>
        </is>
      </c>
      <c r="M183" s="3" t="inlineStr">
        <is>
          <t>Partial removal / toppling (50%; $30,000 + $600/m)</t>
        </is>
      </c>
      <c r="N183" s="3" t="inlineStr">
        <is>
          <t>Natural habitats, proportionally</t>
        </is>
      </c>
      <c r="O183" s="3" t="inlineStr">
        <is>
          <t>Many: 11-50 removals</t>
        </is>
      </c>
      <c r="P183" s="3" t="n"/>
      <c r="Q183" s="3" t="n"/>
      <c r="R183"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Prefer shallowest
Decommissioning &gt; Freed area becomes: Natural habitats, proportionally
Decommissioning &gt; Min removals: 11
Decommissioning &gt; Max removals: 50
Decommissioning &gt; Fraction of each structure removed: 0.5
Live solver / Search &gt; Number of scenarios to run: 100
Search &gt; Search algorithm: Random search
Search &gt; Random seed: 1,182</t>
        </is>
      </c>
      <c r="S183" s="3" t="inlineStr">
        <is>
          <t>B182_DECOM-AL-Shallowest-Partial-Prop-Many.json</t>
        </is>
      </c>
      <c r="T183" s="3" t="n">
        <v>100</v>
      </c>
      <c r="U183" s="3" t="n">
        <v>1182</v>
      </c>
      <c r="V183" s="3" t="n"/>
      <c r="W183" s="3" t="n">
        <v>196</v>
      </c>
      <c r="X183" s="3">
        <f>ROUND((T183+1)*'Read me'!$C$14/60,1)</f>
        <v/>
      </c>
      <c r="Y183" s="8" t="n"/>
      <c r="Z183" s="8" t="inlineStr">
        <is>
          <t>Not started</t>
        </is>
      </c>
      <c r="AA183" s="8" t="n"/>
      <c r="AB183" s="8" t="n"/>
      <c r="AC183" s="8" t="n"/>
      <c r="AD183" s="8" t="n"/>
      <c r="AE183" s="8" t="n"/>
      <c r="AF183" s="8" t="n"/>
      <c r="AG183" s="8" t="n"/>
      <c r="AH183" s="8" t="n"/>
      <c r="AI183" s="8" t="n"/>
      <c r="AJ183" s="8">
        <f>IF(OR(AH183="",'Submission &amp; QC'!$C$18=""),"",IF(AND(ABS(AH183-'Submission &amp; QC'!$C$18)&lt;=0.0005*ABS('Submission &amp; QC'!$C$18),ABS(AI183-'Submission &amp; QC'!$C$19)&lt;=0.0005*ABS('Submission &amp; QC'!$C$19)),"Pass","Fail"))</f>
        <v/>
      </c>
      <c r="AK183" s="8" t="n"/>
      <c r="AL183" s="8" t="n"/>
    </row>
    <row r="184" ht="210" customHeight="1">
      <c r="A184" s="3" t="inlineStr">
        <is>
          <t>B183</t>
        </is>
      </c>
      <c r="B184" s="9" t="inlineStr">
        <is>
          <t>B</t>
        </is>
      </c>
      <c r="C184" s="3" t="n">
        <v>3</v>
      </c>
      <c r="D184" s="3" t="inlineStr">
        <is>
          <t>Decommission</t>
        </is>
      </c>
      <c r="E184" s="3" t="inlineStr">
        <is>
          <t>DECOM-AL-Shallowest-Partial-Sand-Few</t>
        </is>
      </c>
      <c r="F184" s="3" t="inlineStr">
        <is>
          <t>Decommission: few: 1-10 removals, shallowest first, partial removal / toppling (50%; $30,000 + $600/m), freed area to sand, Alabama (west of the Perdido River)</t>
        </is>
      </c>
      <c r="G184" s="3" t="inlineStr">
        <is>
          <t>Alabama (west of the Perdido River)</t>
        </is>
      </c>
      <c r="H184" s="3" t="n"/>
      <c r="I184" s="3" t="n"/>
      <c r="J184" s="3" t="n"/>
      <c r="K184" s="3" t="n"/>
      <c r="L184" s="3" t="inlineStr">
        <is>
          <t>Shallowest</t>
        </is>
      </c>
      <c r="M184" s="3" t="inlineStr">
        <is>
          <t>Partial removal / toppling (50%; $30,000 + $600/m)</t>
        </is>
      </c>
      <c r="N184" s="3" t="inlineStr">
        <is>
          <t>Sand</t>
        </is>
      </c>
      <c r="O184" s="3" t="inlineStr">
        <is>
          <t>Few: 1-10 removals</t>
        </is>
      </c>
      <c r="P184" s="3" t="n"/>
      <c r="Q184" s="3" t="n"/>
      <c r="R184"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Prefer shallowest
Decommissioning &gt; Freed area becomes: sand
Decommissioning &gt; Min removals: 1
Decommissioning &gt; Max removals: 10
Decommissioning &gt; Fraction of each structure removed: 0.5
Live solver / Search &gt; Number of scenarios to run: 100
Search &gt; Search algorithm: Random search
Search &gt; Random seed: 1,183</t>
        </is>
      </c>
      <c r="S184" s="3" t="inlineStr">
        <is>
          <t>B183_DECOM-AL-Shallowest-Partial-Sand-Few.json</t>
        </is>
      </c>
      <c r="T184" s="3" t="n">
        <v>100</v>
      </c>
      <c r="U184" s="3" t="n">
        <v>1183</v>
      </c>
      <c r="V184" s="3" t="n"/>
      <c r="W184" s="3" t="n">
        <v>196</v>
      </c>
      <c r="X184" s="3">
        <f>ROUND((T184+1)*'Read me'!$C$14/60,1)</f>
        <v/>
      </c>
      <c r="Y184" s="8" t="n"/>
      <c r="Z184" s="8" t="inlineStr">
        <is>
          <t>Not started</t>
        </is>
      </c>
      <c r="AA184" s="8" t="n"/>
      <c r="AB184" s="8" t="n"/>
      <c r="AC184" s="8" t="n"/>
      <c r="AD184" s="8" t="n"/>
      <c r="AE184" s="8" t="n"/>
      <c r="AF184" s="8" t="n"/>
      <c r="AG184" s="8" t="n"/>
      <c r="AH184" s="8" t="n"/>
      <c r="AI184" s="8" t="n"/>
      <c r="AJ184" s="8">
        <f>IF(OR(AH184="",'Submission &amp; QC'!$C$18=""),"",IF(AND(ABS(AH184-'Submission &amp; QC'!$C$18)&lt;=0.0005*ABS('Submission &amp; QC'!$C$18),ABS(AI184-'Submission &amp; QC'!$C$19)&lt;=0.0005*ABS('Submission &amp; QC'!$C$19)),"Pass","Fail"))</f>
        <v/>
      </c>
      <c r="AK184" s="8" t="n"/>
      <c r="AL184" s="8" t="n"/>
    </row>
    <row r="185" ht="210" customHeight="1">
      <c r="A185" s="3" t="inlineStr">
        <is>
          <t>B184</t>
        </is>
      </c>
      <c r="B185" s="9" t="inlineStr">
        <is>
          <t>B</t>
        </is>
      </c>
      <c r="C185" s="3" t="n">
        <v>3</v>
      </c>
      <c r="D185" s="3" t="inlineStr">
        <is>
          <t>Decommission</t>
        </is>
      </c>
      <c r="E185" s="3" t="inlineStr">
        <is>
          <t>DECOM-AL-Shallowest-Partial-Sand-Many</t>
        </is>
      </c>
      <c r="F185" s="3" t="inlineStr">
        <is>
          <t>Decommission: many: 11-50 removals, shallowest first, partial removal / toppling (50%; $30,000 + $600/m), freed area to sand, Alabama (west of the Perdido River)</t>
        </is>
      </c>
      <c r="G185" s="3" t="inlineStr">
        <is>
          <t>Alabama (west of the Perdido River)</t>
        </is>
      </c>
      <c r="H185" s="3" t="n"/>
      <c r="I185" s="3" t="n"/>
      <c r="J185" s="3" t="n"/>
      <c r="K185" s="3" t="n"/>
      <c r="L185" s="3" t="inlineStr">
        <is>
          <t>Shallowest</t>
        </is>
      </c>
      <c r="M185" s="3" t="inlineStr">
        <is>
          <t>Partial removal / toppling (50%; $30,000 + $600/m)</t>
        </is>
      </c>
      <c r="N185" s="3" t="inlineStr">
        <is>
          <t>Sand</t>
        </is>
      </c>
      <c r="O185" s="3" t="inlineStr">
        <is>
          <t>Many: 11-50 removals</t>
        </is>
      </c>
      <c r="P185" s="3" t="n"/>
      <c r="Q185" s="3" t="n"/>
      <c r="R185"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Prefer shallowest
Decommissioning &gt; Freed area becomes: sand
Decommissioning &gt; Min removals: 11
Decommissioning &gt; Max removals: 50
Decommissioning &gt; Fraction of each structure removed: 0.5
Live solver / Search &gt; Number of scenarios to run: 100
Search &gt; Search algorithm: Random search
Search &gt; Random seed: 1,184</t>
        </is>
      </c>
      <c r="S185" s="3" t="inlineStr">
        <is>
          <t>B184_DECOM-AL-Shallowest-Partial-Sand-Many.json</t>
        </is>
      </c>
      <c r="T185" s="3" t="n">
        <v>100</v>
      </c>
      <c r="U185" s="3" t="n">
        <v>1184</v>
      </c>
      <c r="V185" s="3" t="n"/>
      <c r="W185" s="3" t="n">
        <v>196</v>
      </c>
      <c r="X185" s="3">
        <f>ROUND((T185+1)*'Read me'!$C$14/60,1)</f>
        <v/>
      </c>
      <c r="Y185" s="8" t="n"/>
      <c r="Z185" s="8" t="inlineStr">
        <is>
          <t>Not started</t>
        </is>
      </c>
      <c r="AA185" s="8" t="n"/>
      <c r="AB185" s="8" t="n"/>
      <c r="AC185" s="8" t="n"/>
      <c r="AD185" s="8" t="n"/>
      <c r="AE185" s="8" t="n"/>
      <c r="AF185" s="8" t="n"/>
      <c r="AG185" s="8" t="n"/>
      <c r="AH185" s="8" t="n"/>
      <c r="AI185" s="8" t="n"/>
      <c r="AJ185" s="8">
        <f>IF(OR(AH185="",'Submission &amp; QC'!$C$18=""),"",IF(AND(ABS(AH185-'Submission &amp; QC'!$C$18)&lt;=0.0005*ABS('Submission &amp; QC'!$C$18),ABS(AI185-'Submission &amp; QC'!$C$19)&lt;=0.0005*ABS('Submission &amp; QC'!$C$19)),"Pass","Fail"))</f>
        <v/>
      </c>
      <c r="AK185" s="8" t="n"/>
      <c r="AL185" s="8" t="n"/>
    </row>
    <row r="186" ht="210" customHeight="1">
      <c r="A186" s="3" t="inlineStr">
        <is>
          <t>B185</t>
        </is>
      </c>
      <c r="B186" s="9" t="inlineStr">
        <is>
          <t>B</t>
        </is>
      </c>
      <c r="C186" s="3" t="n">
        <v>3</v>
      </c>
      <c r="D186" s="3" t="inlineStr">
        <is>
          <t>Decommission</t>
        </is>
      </c>
      <c r="E186" s="3" t="inlineStr">
        <is>
          <t>DECOM-AL-Deepest-Full-Prop-Few</t>
        </is>
      </c>
      <c r="F186" s="3" t="inlineStr">
        <is>
          <t>Decommission: few: 1-10 removals, deepest first, full removal (100%; $50,000 + $1,000/m), freed area to natural habitats, proportionally, Alabama (west of the Perdido River)</t>
        </is>
      </c>
      <c r="G186" s="3" t="inlineStr">
        <is>
          <t>Alabama (west of the Perdido River)</t>
        </is>
      </c>
      <c r="H186" s="3" t="n"/>
      <c r="I186" s="3" t="n"/>
      <c r="J186" s="3" t="n"/>
      <c r="K186" s="3" t="n"/>
      <c r="L186" s="3" t="inlineStr">
        <is>
          <t>Deepest</t>
        </is>
      </c>
      <c r="M186" s="3" t="inlineStr">
        <is>
          <t>Full removal (100%; $50,000 + $1,000/m)</t>
        </is>
      </c>
      <c r="N186" s="3" t="inlineStr">
        <is>
          <t>Natural habitats, proportionally</t>
        </is>
      </c>
      <c r="O186" s="3" t="inlineStr">
        <is>
          <t>Few: 1-10 removals</t>
        </is>
      </c>
      <c r="P186" s="3" t="n"/>
      <c r="Q186" s="3" t="n"/>
      <c r="R186"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Prefer deepest
Decommissioning &gt; Freed area becomes: Natural habitats, proportionally
Decommissioning &gt; Min removals: 1
Decommissioning &gt; Max removals: 10
Decommissioning &gt; Fraction of each structure removed: 1.0
Live solver / Search &gt; Number of scenarios to run: 100
Search &gt; Search algorithm: Random search
Search &gt; Random seed: 1,185</t>
        </is>
      </c>
      <c r="S186" s="3" t="inlineStr">
        <is>
          <t>B185_DECOM-AL-Deepest-Full-Prop-Few.json</t>
        </is>
      </c>
      <c r="T186" s="3" t="n">
        <v>100</v>
      </c>
      <c r="U186" s="3" t="n">
        <v>1185</v>
      </c>
      <c r="V186" s="3" t="n"/>
      <c r="W186" s="3" t="n">
        <v>196</v>
      </c>
      <c r="X186" s="3">
        <f>ROUND((T186+1)*'Read me'!$C$14/60,1)</f>
        <v/>
      </c>
      <c r="Y186" s="8" t="n"/>
      <c r="Z186" s="8" t="inlineStr">
        <is>
          <t>Not started</t>
        </is>
      </c>
      <c r="AA186" s="8" t="n"/>
      <c r="AB186" s="8" t="n"/>
      <c r="AC186" s="8" t="n"/>
      <c r="AD186" s="8" t="n"/>
      <c r="AE186" s="8" t="n"/>
      <c r="AF186" s="8" t="n"/>
      <c r="AG186" s="8" t="n"/>
      <c r="AH186" s="8" t="n"/>
      <c r="AI186" s="8" t="n"/>
      <c r="AJ186" s="8">
        <f>IF(OR(AH186="",'Submission &amp; QC'!$C$18=""),"",IF(AND(ABS(AH186-'Submission &amp; QC'!$C$18)&lt;=0.0005*ABS('Submission &amp; QC'!$C$18),ABS(AI186-'Submission &amp; QC'!$C$19)&lt;=0.0005*ABS('Submission &amp; QC'!$C$19)),"Pass","Fail"))</f>
        <v/>
      </c>
      <c r="AK186" s="8" t="n"/>
      <c r="AL186" s="8" t="n"/>
    </row>
    <row r="187" ht="210" customHeight="1">
      <c r="A187" s="3" t="inlineStr">
        <is>
          <t>B186</t>
        </is>
      </c>
      <c r="B187" s="9" t="inlineStr">
        <is>
          <t>B</t>
        </is>
      </c>
      <c r="C187" s="3" t="n">
        <v>3</v>
      </c>
      <c r="D187" s="3" t="inlineStr">
        <is>
          <t>Decommission</t>
        </is>
      </c>
      <c r="E187" s="3" t="inlineStr">
        <is>
          <t>DECOM-AL-Deepest-Full-Prop-Many</t>
        </is>
      </c>
      <c r="F187" s="3" t="inlineStr">
        <is>
          <t>Decommission: many: 11-50 removals, deepest first, full removal (100%; $50,000 + $1,000/m), freed area to natural habitats, proportionally, Alabama (west of the Perdido River)</t>
        </is>
      </c>
      <c r="G187" s="3" t="inlineStr">
        <is>
          <t>Alabama (west of the Perdido River)</t>
        </is>
      </c>
      <c r="H187" s="3" t="n"/>
      <c r="I187" s="3" t="n"/>
      <c r="J187" s="3" t="n"/>
      <c r="K187" s="3" t="n"/>
      <c r="L187" s="3" t="inlineStr">
        <is>
          <t>Deepest</t>
        </is>
      </c>
      <c r="M187" s="3" t="inlineStr">
        <is>
          <t>Full removal (100%; $50,000 + $1,000/m)</t>
        </is>
      </c>
      <c r="N187" s="3" t="inlineStr">
        <is>
          <t>Natural habitats, proportionally</t>
        </is>
      </c>
      <c r="O187" s="3" t="inlineStr">
        <is>
          <t>Many: 11-50 removals</t>
        </is>
      </c>
      <c r="P187" s="3" t="n"/>
      <c r="Q187" s="3" t="n"/>
      <c r="R187"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Prefer deepest
Decommissioning &gt; Freed area becomes: Natural habitats, proportionally
Decommissioning &gt; Min removals: 11
Decommissioning &gt; Max removals: 50
Decommissioning &gt; Fraction of each structure removed: 1.0
Live solver / Search &gt; Number of scenarios to run: 100
Search &gt; Search algorithm: Random search
Search &gt; Random seed: 1,186</t>
        </is>
      </c>
      <c r="S187" s="3" t="inlineStr">
        <is>
          <t>B186_DECOM-AL-Deepest-Full-Prop-Many.json</t>
        </is>
      </c>
      <c r="T187" s="3" t="n">
        <v>100</v>
      </c>
      <c r="U187" s="3" t="n">
        <v>1186</v>
      </c>
      <c r="V187" s="3" t="n"/>
      <c r="W187" s="3" t="n">
        <v>196</v>
      </c>
      <c r="X187" s="3">
        <f>ROUND((T187+1)*'Read me'!$C$14/60,1)</f>
        <v/>
      </c>
      <c r="Y187" s="8" t="n"/>
      <c r="Z187" s="8" t="inlineStr">
        <is>
          <t>Not started</t>
        </is>
      </c>
      <c r="AA187" s="8" t="n"/>
      <c r="AB187" s="8" t="n"/>
      <c r="AC187" s="8" t="n"/>
      <c r="AD187" s="8" t="n"/>
      <c r="AE187" s="8" t="n"/>
      <c r="AF187" s="8" t="n"/>
      <c r="AG187" s="8" t="n"/>
      <c r="AH187" s="8" t="n"/>
      <c r="AI187" s="8" t="n"/>
      <c r="AJ187" s="8">
        <f>IF(OR(AH187="",'Submission &amp; QC'!$C$18=""),"",IF(AND(ABS(AH187-'Submission &amp; QC'!$C$18)&lt;=0.0005*ABS('Submission &amp; QC'!$C$18),ABS(AI187-'Submission &amp; QC'!$C$19)&lt;=0.0005*ABS('Submission &amp; QC'!$C$19)),"Pass","Fail"))</f>
        <v/>
      </c>
      <c r="AK187" s="8" t="n"/>
      <c r="AL187" s="8" t="n"/>
    </row>
    <row r="188" ht="210" customHeight="1">
      <c r="A188" s="3" t="inlineStr">
        <is>
          <t>B187</t>
        </is>
      </c>
      <c r="B188" s="9" t="inlineStr">
        <is>
          <t>B</t>
        </is>
      </c>
      <c r="C188" s="3" t="n">
        <v>3</v>
      </c>
      <c r="D188" s="3" t="inlineStr">
        <is>
          <t>Decommission</t>
        </is>
      </c>
      <c r="E188" s="3" t="inlineStr">
        <is>
          <t>DECOM-AL-Deepest-Full-Sand-Few</t>
        </is>
      </c>
      <c r="F188" s="3" t="inlineStr">
        <is>
          <t>Decommission: few: 1-10 removals, deepest first, full removal (100%; $50,000 + $1,000/m), freed area to sand, Alabama (west of the Perdido River)</t>
        </is>
      </c>
      <c r="G188" s="3" t="inlineStr">
        <is>
          <t>Alabama (west of the Perdido River)</t>
        </is>
      </c>
      <c r="H188" s="3" t="n"/>
      <c r="I188" s="3" t="n"/>
      <c r="J188" s="3" t="n"/>
      <c r="K188" s="3" t="n"/>
      <c r="L188" s="3" t="inlineStr">
        <is>
          <t>Deepest</t>
        </is>
      </c>
      <c r="M188" s="3" t="inlineStr">
        <is>
          <t>Full removal (100%; $50,000 + $1,000/m)</t>
        </is>
      </c>
      <c r="N188" s="3" t="inlineStr">
        <is>
          <t>Sand</t>
        </is>
      </c>
      <c r="O188" s="3" t="inlineStr">
        <is>
          <t>Few: 1-10 removals</t>
        </is>
      </c>
      <c r="P188" s="3" t="n"/>
      <c r="Q188" s="3" t="n"/>
      <c r="R188"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Prefer deepest
Decommissioning &gt; Freed area becomes: sand
Decommissioning &gt; Min removals: 1
Decommissioning &gt; Max removals: 10
Decommissioning &gt; Fraction of each structure removed: 1.0
Live solver / Search &gt; Number of scenarios to run: 100
Search &gt; Search algorithm: Random search
Search &gt; Random seed: 1,187</t>
        </is>
      </c>
      <c r="S188" s="3" t="inlineStr">
        <is>
          <t>B187_DECOM-AL-Deepest-Full-Sand-Few.json</t>
        </is>
      </c>
      <c r="T188" s="3" t="n">
        <v>100</v>
      </c>
      <c r="U188" s="3" t="n">
        <v>1187</v>
      </c>
      <c r="V188" s="3" t="n"/>
      <c r="W188" s="3" t="n">
        <v>196</v>
      </c>
      <c r="X188" s="3">
        <f>ROUND((T188+1)*'Read me'!$C$14/60,1)</f>
        <v/>
      </c>
      <c r="Y188" s="8" t="n"/>
      <c r="Z188" s="8" t="inlineStr">
        <is>
          <t>Not started</t>
        </is>
      </c>
      <c r="AA188" s="8" t="n"/>
      <c r="AB188" s="8" t="n"/>
      <c r="AC188" s="8" t="n"/>
      <c r="AD188" s="8" t="n"/>
      <c r="AE188" s="8" t="n"/>
      <c r="AF188" s="8" t="n"/>
      <c r="AG188" s="8" t="n"/>
      <c r="AH188" s="8" t="n"/>
      <c r="AI188" s="8" t="n"/>
      <c r="AJ188" s="8">
        <f>IF(OR(AH188="",'Submission &amp; QC'!$C$18=""),"",IF(AND(ABS(AH188-'Submission &amp; QC'!$C$18)&lt;=0.0005*ABS('Submission &amp; QC'!$C$18),ABS(AI188-'Submission &amp; QC'!$C$19)&lt;=0.0005*ABS('Submission &amp; QC'!$C$19)),"Pass","Fail"))</f>
        <v/>
      </c>
      <c r="AK188" s="8" t="n"/>
      <c r="AL188" s="8" t="n"/>
    </row>
    <row r="189" ht="210" customHeight="1">
      <c r="A189" s="3" t="inlineStr">
        <is>
          <t>B188</t>
        </is>
      </c>
      <c r="B189" s="9" t="inlineStr">
        <is>
          <t>B</t>
        </is>
      </c>
      <c r="C189" s="3" t="n">
        <v>3</v>
      </c>
      <c r="D189" s="3" t="inlineStr">
        <is>
          <t>Decommission</t>
        </is>
      </c>
      <c r="E189" s="3" t="inlineStr">
        <is>
          <t>DECOM-AL-Deepest-Full-Sand-Many</t>
        </is>
      </c>
      <c r="F189" s="3" t="inlineStr">
        <is>
          <t>Decommission: many: 11-50 removals, deepest first, full removal (100%; $50,000 + $1,000/m), freed area to sand, Alabama (west of the Perdido River)</t>
        </is>
      </c>
      <c r="G189" s="3" t="inlineStr">
        <is>
          <t>Alabama (west of the Perdido River)</t>
        </is>
      </c>
      <c r="H189" s="3" t="n"/>
      <c r="I189" s="3" t="n"/>
      <c r="J189" s="3" t="n"/>
      <c r="K189" s="3" t="n"/>
      <c r="L189" s="3" t="inlineStr">
        <is>
          <t>Deepest</t>
        </is>
      </c>
      <c r="M189" s="3" t="inlineStr">
        <is>
          <t>Full removal (100%; $50,000 + $1,000/m)</t>
        </is>
      </c>
      <c r="N189" s="3" t="inlineStr">
        <is>
          <t>Sand</t>
        </is>
      </c>
      <c r="O189" s="3" t="inlineStr">
        <is>
          <t>Many: 11-50 removals</t>
        </is>
      </c>
      <c r="P189" s="3" t="n"/>
      <c r="Q189" s="3" t="n"/>
      <c r="R189" s="3" t="inlineStr">
        <is>
          <t>Strategy &gt; Strategy: Decommission existing structures
Decommissioning &gt; Removal budget (USD): 10,000,000
Decommissioning &gt; Cost: Depth-based
Decommissioning &gt; Fixed cost per removal (USD, added): 50,000
Decommissioning &gt; USD per metre depth: 1,000
Decommissioning &gt; East lon: -87.51
Decommissioning &gt; Selection preference: Prefer deepest
Decommissioning &gt; Freed area becomes: sand
Decommissioning &gt; Min removals: 11
Decommissioning &gt; Max removals: 50
Decommissioning &gt; Fraction of each structure removed: 1.0
Live solver / Search &gt; Number of scenarios to run: 100
Search &gt; Search algorithm: Random search
Search &gt; Random seed: 1,188</t>
        </is>
      </c>
      <c r="S189" s="3" t="inlineStr">
        <is>
          <t>B188_DECOM-AL-Deepest-Full-Sand-Many.json</t>
        </is>
      </c>
      <c r="T189" s="3" t="n">
        <v>100</v>
      </c>
      <c r="U189" s="3" t="n">
        <v>1188</v>
      </c>
      <c r="V189" s="3" t="n"/>
      <c r="W189" s="3" t="n">
        <v>196</v>
      </c>
      <c r="X189" s="3">
        <f>ROUND((T189+1)*'Read me'!$C$14/60,1)</f>
        <v/>
      </c>
      <c r="Y189" s="8" t="n"/>
      <c r="Z189" s="8" t="inlineStr">
        <is>
          <t>Not started</t>
        </is>
      </c>
      <c r="AA189" s="8" t="n"/>
      <c r="AB189" s="8" t="n"/>
      <c r="AC189" s="8" t="n"/>
      <c r="AD189" s="8" t="n"/>
      <c r="AE189" s="8" t="n"/>
      <c r="AF189" s="8" t="n"/>
      <c r="AG189" s="8" t="n"/>
      <c r="AH189" s="8" t="n"/>
      <c r="AI189" s="8" t="n"/>
      <c r="AJ189" s="8">
        <f>IF(OR(AH189="",'Submission &amp; QC'!$C$18=""),"",IF(AND(ABS(AH189-'Submission &amp; QC'!$C$18)&lt;=0.0005*ABS('Submission &amp; QC'!$C$18),ABS(AI189-'Submission &amp; QC'!$C$19)&lt;=0.0005*ABS('Submission &amp; QC'!$C$19)),"Pass","Fail"))</f>
        <v/>
      </c>
      <c r="AK189" s="8" t="n"/>
      <c r="AL189" s="8" t="n"/>
    </row>
    <row r="190" ht="210" customHeight="1">
      <c r="A190" s="3" t="inlineStr">
        <is>
          <t>B189</t>
        </is>
      </c>
      <c r="B190" s="9" t="inlineStr">
        <is>
          <t>B</t>
        </is>
      </c>
      <c r="C190" s="3" t="n">
        <v>3</v>
      </c>
      <c r="D190" s="3" t="inlineStr">
        <is>
          <t>Decommission</t>
        </is>
      </c>
      <c r="E190" s="3" t="inlineStr">
        <is>
          <t>DECOM-AL-Deepest-Partial-Prop-Few</t>
        </is>
      </c>
      <c r="F190" s="3" t="inlineStr">
        <is>
          <t>Decommission: few: 1-10 removals, deepest first, partial removal / toppling (50%; $30,000 + $600/m), freed area to natural habitats, proportionally, Alabama (west of the Perdido River)</t>
        </is>
      </c>
      <c r="G190" s="3" t="inlineStr">
        <is>
          <t>Alabama (west of the Perdido River)</t>
        </is>
      </c>
      <c r="H190" s="3" t="n"/>
      <c r="I190" s="3" t="n"/>
      <c r="J190" s="3" t="n"/>
      <c r="K190" s="3" t="n"/>
      <c r="L190" s="3" t="inlineStr">
        <is>
          <t>Deepest</t>
        </is>
      </c>
      <c r="M190" s="3" t="inlineStr">
        <is>
          <t>Partial removal / toppling (50%; $30,000 + $600/m)</t>
        </is>
      </c>
      <c r="N190" s="3" t="inlineStr">
        <is>
          <t>Natural habitats, proportionally</t>
        </is>
      </c>
      <c r="O190" s="3" t="inlineStr">
        <is>
          <t>Few: 1-10 removals</t>
        </is>
      </c>
      <c r="P190" s="3" t="n"/>
      <c r="Q190" s="3" t="n"/>
      <c r="R190"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Prefer deepest
Decommissioning &gt; Freed area becomes: Natural habitats, proportionally
Decommissioning &gt; Min removals: 1
Decommissioning &gt; Max removals: 10
Decommissioning &gt; Fraction of each structure removed: 0.5
Live solver / Search &gt; Number of scenarios to run: 100
Search &gt; Search algorithm: Random search
Search &gt; Random seed: 1,189</t>
        </is>
      </c>
      <c r="S190" s="3" t="inlineStr">
        <is>
          <t>B189_DECOM-AL-Deepest-Partial-Prop-Few.json</t>
        </is>
      </c>
      <c r="T190" s="3" t="n">
        <v>100</v>
      </c>
      <c r="U190" s="3" t="n">
        <v>1189</v>
      </c>
      <c r="V190" s="3" t="n"/>
      <c r="W190" s="3" t="n">
        <v>196</v>
      </c>
      <c r="X190" s="3">
        <f>ROUND((T190+1)*'Read me'!$C$14/60,1)</f>
        <v/>
      </c>
      <c r="Y190" s="8" t="n"/>
      <c r="Z190" s="8" t="inlineStr">
        <is>
          <t>Not started</t>
        </is>
      </c>
      <c r="AA190" s="8" t="n"/>
      <c r="AB190" s="8" t="n"/>
      <c r="AC190" s="8" t="n"/>
      <c r="AD190" s="8" t="n"/>
      <c r="AE190" s="8" t="n"/>
      <c r="AF190" s="8" t="n"/>
      <c r="AG190" s="8" t="n"/>
      <c r="AH190" s="8" t="n"/>
      <c r="AI190" s="8" t="n"/>
      <c r="AJ190" s="8">
        <f>IF(OR(AH190="",'Submission &amp; QC'!$C$18=""),"",IF(AND(ABS(AH190-'Submission &amp; QC'!$C$18)&lt;=0.0005*ABS('Submission &amp; QC'!$C$18),ABS(AI190-'Submission &amp; QC'!$C$19)&lt;=0.0005*ABS('Submission &amp; QC'!$C$19)),"Pass","Fail"))</f>
        <v/>
      </c>
      <c r="AK190" s="8" t="n"/>
      <c r="AL190" s="8" t="n"/>
    </row>
    <row r="191" ht="210" customHeight="1">
      <c r="A191" s="3" t="inlineStr">
        <is>
          <t>B190</t>
        </is>
      </c>
      <c r="B191" s="9" t="inlineStr">
        <is>
          <t>B</t>
        </is>
      </c>
      <c r="C191" s="3" t="n">
        <v>3</v>
      </c>
      <c r="D191" s="3" t="inlineStr">
        <is>
          <t>Decommission</t>
        </is>
      </c>
      <c r="E191" s="3" t="inlineStr">
        <is>
          <t>DECOM-AL-Deepest-Partial-Prop-Many</t>
        </is>
      </c>
      <c r="F191" s="3" t="inlineStr">
        <is>
          <t>Decommission: many: 11-50 removals, deepest first, partial removal / toppling (50%; $30,000 + $600/m), freed area to natural habitats, proportionally, Alabama (west of the Perdido River)</t>
        </is>
      </c>
      <c r="G191" s="3" t="inlineStr">
        <is>
          <t>Alabama (west of the Perdido River)</t>
        </is>
      </c>
      <c r="H191" s="3" t="n"/>
      <c r="I191" s="3" t="n"/>
      <c r="J191" s="3" t="n"/>
      <c r="K191" s="3" t="n"/>
      <c r="L191" s="3" t="inlineStr">
        <is>
          <t>Deepest</t>
        </is>
      </c>
      <c r="M191" s="3" t="inlineStr">
        <is>
          <t>Partial removal / toppling (50%; $30,000 + $600/m)</t>
        </is>
      </c>
      <c r="N191" s="3" t="inlineStr">
        <is>
          <t>Natural habitats, proportionally</t>
        </is>
      </c>
      <c r="O191" s="3" t="inlineStr">
        <is>
          <t>Many: 11-50 removals</t>
        </is>
      </c>
      <c r="P191" s="3" t="n"/>
      <c r="Q191" s="3" t="n"/>
      <c r="R191"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Prefer deepest
Decommissioning &gt; Freed area becomes: Natural habitats, proportionally
Decommissioning &gt; Min removals: 11
Decommissioning &gt; Max removals: 50
Decommissioning &gt; Fraction of each structure removed: 0.5
Live solver / Search &gt; Number of scenarios to run: 100
Search &gt; Search algorithm: Random search
Search &gt; Random seed: 1,190</t>
        </is>
      </c>
      <c r="S191" s="3" t="inlineStr">
        <is>
          <t>B190_DECOM-AL-Deepest-Partial-Prop-Many.json</t>
        </is>
      </c>
      <c r="T191" s="3" t="n">
        <v>100</v>
      </c>
      <c r="U191" s="3" t="n">
        <v>1190</v>
      </c>
      <c r="V191" s="3" t="n"/>
      <c r="W191" s="3" t="n">
        <v>196</v>
      </c>
      <c r="X191" s="3">
        <f>ROUND((T191+1)*'Read me'!$C$14/60,1)</f>
        <v/>
      </c>
      <c r="Y191" s="8" t="n"/>
      <c r="Z191" s="8" t="inlineStr">
        <is>
          <t>Not started</t>
        </is>
      </c>
      <c r="AA191" s="8" t="n"/>
      <c r="AB191" s="8" t="n"/>
      <c r="AC191" s="8" t="n"/>
      <c r="AD191" s="8" t="n"/>
      <c r="AE191" s="8" t="n"/>
      <c r="AF191" s="8" t="n"/>
      <c r="AG191" s="8" t="n"/>
      <c r="AH191" s="8" t="n"/>
      <c r="AI191" s="8" t="n"/>
      <c r="AJ191" s="8">
        <f>IF(OR(AH191="",'Submission &amp; QC'!$C$18=""),"",IF(AND(ABS(AH191-'Submission &amp; QC'!$C$18)&lt;=0.0005*ABS('Submission &amp; QC'!$C$18),ABS(AI191-'Submission &amp; QC'!$C$19)&lt;=0.0005*ABS('Submission &amp; QC'!$C$19)),"Pass","Fail"))</f>
        <v/>
      </c>
      <c r="AK191" s="8" t="n"/>
      <c r="AL191" s="8" t="n"/>
    </row>
    <row r="192" ht="210" customHeight="1">
      <c r="A192" s="3" t="inlineStr">
        <is>
          <t>B191</t>
        </is>
      </c>
      <c r="B192" s="9" t="inlineStr">
        <is>
          <t>B</t>
        </is>
      </c>
      <c r="C192" s="3" t="n">
        <v>3</v>
      </c>
      <c r="D192" s="3" t="inlineStr">
        <is>
          <t>Decommission</t>
        </is>
      </c>
      <c r="E192" s="3" t="inlineStr">
        <is>
          <t>DECOM-AL-Deepest-Partial-Sand-Few</t>
        </is>
      </c>
      <c r="F192" s="3" t="inlineStr">
        <is>
          <t>Decommission: few: 1-10 removals, deepest first, partial removal / toppling (50%; $30,000 + $600/m), freed area to sand, Alabama (west of the Perdido River)</t>
        </is>
      </c>
      <c r="G192" s="3" t="inlineStr">
        <is>
          <t>Alabama (west of the Perdido River)</t>
        </is>
      </c>
      <c r="H192" s="3" t="n"/>
      <c r="I192" s="3" t="n"/>
      <c r="J192" s="3" t="n"/>
      <c r="K192" s="3" t="n"/>
      <c r="L192" s="3" t="inlineStr">
        <is>
          <t>Deepest</t>
        </is>
      </c>
      <c r="M192" s="3" t="inlineStr">
        <is>
          <t>Partial removal / toppling (50%; $30,000 + $600/m)</t>
        </is>
      </c>
      <c r="N192" s="3" t="inlineStr">
        <is>
          <t>Sand</t>
        </is>
      </c>
      <c r="O192" s="3" t="inlineStr">
        <is>
          <t>Few: 1-10 removals</t>
        </is>
      </c>
      <c r="P192" s="3" t="n"/>
      <c r="Q192" s="3" t="n"/>
      <c r="R192"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Prefer deepest
Decommissioning &gt; Freed area becomes: sand
Decommissioning &gt; Min removals: 1
Decommissioning &gt; Max removals: 10
Decommissioning &gt; Fraction of each structure removed: 0.5
Live solver / Search &gt; Number of scenarios to run: 100
Search &gt; Search algorithm: Random search
Search &gt; Random seed: 1,191</t>
        </is>
      </c>
      <c r="S192" s="3" t="inlineStr">
        <is>
          <t>B191_DECOM-AL-Deepest-Partial-Sand-Few.json</t>
        </is>
      </c>
      <c r="T192" s="3" t="n">
        <v>100</v>
      </c>
      <c r="U192" s="3" t="n">
        <v>1191</v>
      </c>
      <c r="V192" s="3" t="n"/>
      <c r="W192" s="3" t="n">
        <v>196</v>
      </c>
      <c r="X192" s="3">
        <f>ROUND((T192+1)*'Read me'!$C$14/60,1)</f>
        <v/>
      </c>
      <c r="Y192" s="8" t="n"/>
      <c r="Z192" s="8" t="inlineStr">
        <is>
          <t>Not started</t>
        </is>
      </c>
      <c r="AA192" s="8" t="n"/>
      <c r="AB192" s="8" t="n"/>
      <c r="AC192" s="8" t="n"/>
      <c r="AD192" s="8" t="n"/>
      <c r="AE192" s="8" t="n"/>
      <c r="AF192" s="8" t="n"/>
      <c r="AG192" s="8" t="n"/>
      <c r="AH192" s="8" t="n"/>
      <c r="AI192" s="8" t="n"/>
      <c r="AJ192" s="8">
        <f>IF(OR(AH192="",'Submission &amp; QC'!$C$18=""),"",IF(AND(ABS(AH192-'Submission &amp; QC'!$C$18)&lt;=0.0005*ABS('Submission &amp; QC'!$C$18),ABS(AI192-'Submission &amp; QC'!$C$19)&lt;=0.0005*ABS('Submission &amp; QC'!$C$19)),"Pass","Fail"))</f>
        <v/>
      </c>
      <c r="AK192" s="8" t="n"/>
      <c r="AL192" s="8" t="n"/>
    </row>
    <row r="193" ht="210" customHeight="1">
      <c r="A193" s="3" t="inlineStr">
        <is>
          <t>B192</t>
        </is>
      </c>
      <c r="B193" s="9" t="inlineStr">
        <is>
          <t>B</t>
        </is>
      </c>
      <c r="C193" s="3" t="n">
        <v>3</v>
      </c>
      <c r="D193" s="3" t="inlineStr">
        <is>
          <t>Decommission</t>
        </is>
      </c>
      <c r="E193" s="3" t="inlineStr">
        <is>
          <t>DECOM-AL-Deepest-Partial-Sand-Many</t>
        </is>
      </c>
      <c r="F193" s="3" t="inlineStr">
        <is>
          <t>Decommission: many: 11-50 removals, deepest first, partial removal / toppling (50%; $30,000 + $600/m), freed area to sand, Alabama (west of the Perdido River)</t>
        </is>
      </c>
      <c r="G193" s="3" t="inlineStr">
        <is>
          <t>Alabama (west of the Perdido River)</t>
        </is>
      </c>
      <c r="H193" s="3" t="n"/>
      <c r="I193" s="3" t="n"/>
      <c r="J193" s="3" t="n"/>
      <c r="K193" s="3" t="n"/>
      <c r="L193" s="3" t="inlineStr">
        <is>
          <t>Deepest</t>
        </is>
      </c>
      <c r="M193" s="3" t="inlineStr">
        <is>
          <t>Partial removal / toppling (50%; $30,000 + $600/m)</t>
        </is>
      </c>
      <c r="N193" s="3" t="inlineStr">
        <is>
          <t>Sand</t>
        </is>
      </c>
      <c r="O193" s="3" t="inlineStr">
        <is>
          <t>Many: 11-50 removals</t>
        </is>
      </c>
      <c r="P193" s="3" t="n"/>
      <c r="Q193" s="3" t="n"/>
      <c r="R193" s="3" t="inlineStr">
        <is>
          <t>Strategy &gt; Strategy: Decommission existing structures
Decommissioning &gt; Removal budget (USD): 10,000,000
Decommissioning &gt; Cost: Depth-based
Decommissioning &gt; Fixed cost per removal (USD, added): 30,000
Decommissioning &gt; USD per metre depth: 600
Decommissioning &gt; East lon: -87.51
Decommissioning &gt; Selection preference: Prefer deepest
Decommissioning &gt; Freed area becomes: sand
Decommissioning &gt; Min removals: 11
Decommissioning &gt; Max removals: 50
Decommissioning &gt; Fraction of each structure removed: 0.5
Live solver / Search &gt; Number of scenarios to run: 100
Search &gt; Search algorithm: Random search
Search &gt; Random seed: 1,192</t>
        </is>
      </c>
      <c r="S193" s="3" t="inlineStr">
        <is>
          <t>B192_DECOM-AL-Deepest-Partial-Sand-Many.json</t>
        </is>
      </c>
      <c r="T193" s="3" t="n">
        <v>100</v>
      </c>
      <c r="U193" s="3" t="n">
        <v>1192</v>
      </c>
      <c r="V193" s="3" t="n"/>
      <c r="W193" s="3" t="n">
        <v>196</v>
      </c>
      <c r="X193" s="3">
        <f>ROUND((T193+1)*'Read me'!$C$14/60,1)</f>
        <v/>
      </c>
      <c r="Y193" s="8" t="n"/>
      <c r="Z193" s="8" t="inlineStr">
        <is>
          <t>Not started</t>
        </is>
      </c>
      <c r="AA193" s="8" t="n"/>
      <c r="AB193" s="8" t="n"/>
      <c r="AC193" s="8" t="n"/>
      <c r="AD193" s="8" t="n"/>
      <c r="AE193" s="8" t="n"/>
      <c r="AF193" s="8" t="n"/>
      <c r="AG193" s="8" t="n"/>
      <c r="AH193" s="8" t="n"/>
      <c r="AI193" s="8" t="n"/>
      <c r="AJ193" s="8">
        <f>IF(OR(AH193="",'Submission &amp; QC'!$C$18=""),"",IF(AND(ABS(AH193-'Submission &amp; QC'!$C$18)&lt;=0.0005*ABS('Submission &amp; QC'!$C$18),ABS(AI193-'Submission &amp; QC'!$C$19)&lt;=0.0005*ABS('Submission &amp; QC'!$C$19)),"Pass","Fail"))</f>
        <v/>
      </c>
      <c r="AK193" s="8" t="n"/>
      <c r="AL193" s="8" t="n"/>
    </row>
    <row r="194" ht="210" customHeight="1">
      <c r="A194" s="3" t="inlineStr">
        <is>
          <t>B193</t>
        </is>
      </c>
      <c r="B194" s="9" t="inlineStr">
        <is>
          <t>B</t>
        </is>
      </c>
      <c r="C194" s="3" t="n">
        <v>3</v>
      </c>
      <c r="D194" s="3" t="inlineStr">
        <is>
          <t>Decommission</t>
        </is>
      </c>
      <c r="E194" s="3" t="inlineStr">
        <is>
          <t>DECOM-FL-Random-Full-Prop-Few</t>
        </is>
      </c>
      <c r="F194" s="3" t="inlineStr">
        <is>
          <t>Decommission: few: 1-10 removals, random first, full removal (100%; $50,000 + $1,000/m), freed area to natural habitats, proportionally, Florida panhandle (east of the Perdido River)</t>
        </is>
      </c>
      <c r="G194" s="3" t="inlineStr">
        <is>
          <t>Florida panhandle (east of the Perdido River)</t>
        </is>
      </c>
      <c r="H194" s="3" t="n"/>
      <c r="I194" s="3" t="n"/>
      <c r="J194" s="3" t="n"/>
      <c r="K194" s="3" t="n"/>
      <c r="L194" s="3" t="inlineStr">
        <is>
          <t>Random</t>
        </is>
      </c>
      <c r="M194" s="3" t="inlineStr">
        <is>
          <t>Full removal (100%; $50,000 + $1,000/m)</t>
        </is>
      </c>
      <c r="N194" s="3" t="inlineStr">
        <is>
          <t>Natural habitats, proportionally</t>
        </is>
      </c>
      <c r="O194" s="3" t="inlineStr">
        <is>
          <t>Few: 1-10 removals</t>
        </is>
      </c>
      <c r="P194" s="3" t="n"/>
      <c r="Q194" s="3" t="n"/>
      <c r="R194"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Random
Decommissioning &gt; Freed area becomes: Natural habitats, proportionally
Decommissioning &gt; Min removals: 1
Decommissioning &gt; Max removals: 10
Decommissioning &gt; Fraction of each structure removed: 1.0
Live solver / Search &gt; Number of scenarios to run: 100
Search &gt; Search algorithm: Random search
Search &gt; Random seed: 1,193</t>
        </is>
      </c>
      <c r="S194" s="3" t="inlineStr">
        <is>
          <t>B193_DECOM-FL-Random-Full-Prop-Few.json</t>
        </is>
      </c>
      <c r="T194" s="3" t="n">
        <v>100</v>
      </c>
      <c r="U194" s="3" t="n">
        <v>1193</v>
      </c>
      <c r="V194" s="3" t="n"/>
      <c r="W194" s="3" t="n">
        <v>118</v>
      </c>
      <c r="X194" s="3">
        <f>ROUND((T194+1)*'Read me'!$C$14/60,1)</f>
        <v/>
      </c>
      <c r="Y194" s="8" t="n"/>
      <c r="Z194" s="8" t="inlineStr">
        <is>
          <t>Not started</t>
        </is>
      </c>
      <c r="AA194" s="8" t="n"/>
      <c r="AB194" s="8" t="n"/>
      <c r="AC194" s="8" t="n"/>
      <c r="AD194" s="8" t="n"/>
      <c r="AE194" s="8" t="n"/>
      <c r="AF194" s="8" t="n"/>
      <c r="AG194" s="8" t="n"/>
      <c r="AH194" s="8" t="n"/>
      <c r="AI194" s="8" t="n"/>
      <c r="AJ194" s="8">
        <f>IF(OR(AH194="",'Submission &amp; QC'!$C$18=""),"",IF(AND(ABS(AH194-'Submission &amp; QC'!$C$18)&lt;=0.0005*ABS('Submission &amp; QC'!$C$18),ABS(AI194-'Submission &amp; QC'!$C$19)&lt;=0.0005*ABS('Submission &amp; QC'!$C$19)),"Pass","Fail"))</f>
        <v/>
      </c>
      <c r="AK194" s="8" t="n"/>
      <c r="AL194" s="8" t="n"/>
    </row>
    <row r="195" ht="210" customHeight="1">
      <c r="A195" s="3" t="inlineStr">
        <is>
          <t>B194</t>
        </is>
      </c>
      <c r="B195" s="9" t="inlineStr">
        <is>
          <t>B</t>
        </is>
      </c>
      <c r="C195" s="3" t="n">
        <v>3</v>
      </c>
      <c r="D195" s="3" t="inlineStr">
        <is>
          <t>Decommission</t>
        </is>
      </c>
      <c r="E195" s="3" t="inlineStr">
        <is>
          <t>DECOM-FL-Random-Full-Prop-Many</t>
        </is>
      </c>
      <c r="F195" s="3" t="inlineStr">
        <is>
          <t>Decommission: many: 11-50 removals, random first, full removal (100%; $50,000 + $1,000/m), freed area to natural habitats, proportionally, Florida panhandle (east of the Perdido River)</t>
        </is>
      </c>
      <c r="G195" s="3" t="inlineStr">
        <is>
          <t>Florida panhandle (east of the Perdido River)</t>
        </is>
      </c>
      <c r="H195" s="3" t="n"/>
      <c r="I195" s="3" t="n"/>
      <c r="J195" s="3" t="n"/>
      <c r="K195" s="3" t="n"/>
      <c r="L195" s="3" t="inlineStr">
        <is>
          <t>Random</t>
        </is>
      </c>
      <c r="M195" s="3" t="inlineStr">
        <is>
          <t>Full removal (100%; $50,000 + $1,000/m)</t>
        </is>
      </c>
      <c r="N195" s="3" t="inlineStr">
        <is>
          <t>Natural habitats, proportionally</t>
        </is>
      </c>
      <c r="O195" s="3" t="inlineStr">
        <is>
          <t>Many: 11-50 removals</t>
        </is>
      </c>
      <c r="P195" s="3" t="n"/>
      <c r="Q195" s="3" t="n"/>
      <c r="R195"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Random
Decommissioning &gt; Freed area becomes: Natural habitats, proportionally
Decommissioning &gt; Min removals: 11
Decommissioning &gt; Max removals: 50
Decommissioning &gt; Fraction of each structure removed: 1.0
Live solver / Search &gt; Number of scenarios to run: 100
Search &gt; Search algorithm: Random search
Search &gt; Random seed: 1,194</t>
        </is>
      </c>
      <c r="S195" s="3" t="inlineStr">
        <is>
          <t>B194_DECOM-FL-Random-Full-Prop-Many.json</t>
        </is>
      </c>
      <c r="T195" s="3" t="n">
        <v>100</v>
      </c>
      <c r="U195" s="3" t="n">
        <v>1194</v>
      </c>
      <c r="V195" s="3" t="n"/>
      <c r="W195" s="3" t="n">
        <v>118</v>
      </c>
      <c r="X195" s="3">
        <f>ROUND((T195+1)*'Read me'!$C$14/60,1)</f>
        <v/>
      </c>
      <c r="Y195" s="8" t="n"/>
      <c r="Z195" s="8" t="inlineStr">
        <is>
          <t>Not started</t>
        </is>
      </c>
      <c r="AA195" s="8" t="n"/>
      <c r="AB195" s="8" t="n"/>
      <c r="AC195" s="8" t="n"/>
      <c r="AD195" s="8" t="n"/>
      <c r="AE195" s="8" t="n"/>
      <c r="AF195" s="8" t="n"/>
      <c r="AG195" s="8" t="n"/>
      <c r="AH195" s="8" t="n"/>
      <c r="AI195" s="8" t="n"/>
      <c r="AJ195" s="8">
        <f>IF(OR(AH195="",'Submission &amp; QC'!$C$18=""),"",IF(AND(ABS(AH195-'Submission &amp; QC'!$C$18)&lt;=0.0005*ABS('Submission &amp; QC'!$C$18),ABS(AI195-'Submission &amp; QC'!$C$19)&lt;=0.0005*ABS('Submission &amp; QC'!$C$19)),"Pass","Fail"))</f>
        <v/>
      </c>
      <c r="AK195" s="8" t="n"/>
      <c r="AL195" s="8" t="n"/>
    </row>
    <row r="196" ht="210" customHeight="1">
      <c r="A196" s="3" t="inlineStr">
        <is>
          <t>B195</t>
        </is>
      </c>
      <c r="B196" s="9" t="inlineStr">
        <is>
          <t>B</t>
        </is>
      </c>
      <c r="C196" s="3" t="n">
        <v>3</v>
      </c>
      <c r="D196" s="3" t="inlineStr">
        <is>
          <t>Decommission</t>
        </is>
      </c>
      <c r="E196" s="3" t="inlineStr">
        <is>
          <t>DECOM-FL-Random-Full-Sand-Few</t>
        </is>
      </c>
      <c r="F196" s="3" t="inlineStr">
        <is>
          <t>Decommission: few: 1-10 removals, random first, full removal (100%; $50,000 + $1,000/m), freed area to sand, Florida panhandle (east of the Perdido River)</t>
        </is>
      </c>
      <c r="G196" s="3" t="inlineStr">
        <is>
          <t>Florida panhandle (east of the Perdido River)</t>
        </is>
      </c>
      <c r="H196" s="3" t="n"/>
      <c r="I196" s="3" t="n"/>
      <c r="J196" s="3" t="n"/>
      <c r="K196" s="3" t="n"/>
      <c r="L196" s="3" t="inlineStr">
        <is>
          <t>Random</t>
        </is>
      </c>
      <c r="M196" s="3" t="inlineStr">
        <is>
          <t>Full removal (100%; $50,000 + $1,000/m)</t>
        </is>
      </c>
      <c r="N196" s="3" t="inlineStr">
        <is>
          <t>Sand</t>
        </is>
      </c>
      <c r="O196" s="3" t="inlineStr">
        <is>
          <t>Few: 1-10 removals</t>
        </is>
      </c>
      <c r="P196" s="3" t="n"/>
      <c r="Q196" s="3" t="n"/>
      <c r="R196"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Random
Decommissioning &gt; Freed area becomes: sand
Decommissioning &gt; Min removals: 1
Decommissioning &gt; Max removals: 10
Decommissioning &gt; Fraction of each structure removed: 1.0
Live solver / Search &gt; Number of scenarios to run: 100
Search &gt; Search algorithm: Random search
Search &gt; Random seed: 1,195</t>
        </is>
      </c>
      <c r="S196" s="3" t="inlineStr">
        <is>
          <t>B195_DECOM-FL-Random-Full-Sand-Few.json</t>
        </is>
      </c>
      <c r="T196" s="3" t="n">
        <v>100</v>
      </c>
      <c r="U196" s="3" t="n">
        <v>1195</v>
      </c>
      <c r="V196" s="3" t="n"/>
      <c r="W196" s="3" t="n">
        <v>118</v>
      </c>
      <c r="X196" s="3">
        <f>ROUND((T196+1)*'Read me'!$C$14/60,1)</f>
        <v/>
      </c>
      <c r="Y196" s="8" t="n"/>
      <c r="Z196" s="8" t="inlineStr">
        <is>
          <t>Not started</t>
        </is>
      </c>
      <c r="AA196" s="8" t="n"/>
      <c r="AB196" s="8" t="n"/>
      <c r="AC196" s="8" t="n"/>
      <c r="AD196" s="8" t="n"/>
      <c r="AE196" s="8" t="n"/>
      <c r="AF196" s="8" t="n"/>
      <c r="AG196" s="8" t="n"/>
      <c r="AH196" s="8" t="n"/>
      <c r="AI196" s="8" t="n"/>
      <c r="AJ196" s="8">
        <f>IF(OR(AH196="",'Submission &amp; QC'!$C$18=""),"",IF(AND(ABS(AH196-'Submission &amp; QC'!$C$18)&lt;=0.0005*ABS('Submission &amp; QC'!$C$18),ABS(AI196-'Submission &amp; QC'!$C$19)&lt;=0.0005*ABS('Submission &amp; QC'!$C$19)),"Pass","Fail"))</f>
        <v/>
      </c>
      <c r="AK196" s="8" t="n"/>
      <c r="AL196" s="8" t="n"/>
    </row>
    <row r="197" ht="210" customHeight="1">
      <c r="A197" s="3" t="inlineStr">
        <is>
          <t>B196</t>
        </is>
      </c>
      <c r="B197" s="9" t="inlineStr">
        <is>
          <t>B</t>
        </is>
      </c>
      <c r="C197" s="3" t="n">
        <v>3</v>
      </c>
      <c r="D197" s="3" t="inlineStr">
        <is>
          <t>Decommission</t>
        </is>
      </c>
      <c r="E197" s="3" t="inlineStr">
        <is>
          <t>DECOM-FL-Random-Full-Sand-Many</t>
        </is>
      </c>
      <c r="F197" s="3" t="inlineStr">
        <is>
          <t>Decommission: many: 11-50 removals, random first, full removal (100%; $50,000 + $1,000/m), freed area to sand, Florida panhandle (east of the Perdido River)</t>
        </is>
      </c>
      <c r="G197" s="3" t="inlineStr">
        <is>
          <t>Florida panhandle (east of the Perdido River)</t>
        </is>
      </c>
      <c r="H197" s="3" t="n"/>
      <c r="I197" s="3" t="n"/>
      <c r="J197" s="3" t="n"/>
      <c r="K197" s="3" t="n"/>
      <c r="L197" s="3" t="inlineStr">
        <is>
          <t>Random</t>
        </is>
      </c>
      <c r="M197" s="3" t="inlineStr">
        <is>
          <t>Full removal (100%; $50,000 + $1,000/m)</t>
        </is>
      </c>
      <c r="N197" s="3" t="inlineStr">
        <is>
          <t>Sand</t>
        </is>
      </c>
      <c r="O197" s="3" t="inlineStr">
        <is>
          <t>Many: 11-50 removals</t>
        </is>
      </c>
      <c r="P197" s="3" t="n"/>
      <c r="Q197" s="3" t="n"/>
      <c r="R197"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Random
Decommissioning &gt; Freed area becomes: sand
Decommissioning &gt; Min removals: 11
Decommissioning &gt; Max removals: 50
Decommissioning &gt; Fraction of each structure removed: 1.0
Live solver / Search &gt; Number of scenarios to run: 100
Search &gt; Search algorithm: Random search
Search &gt; Random seed: 1,196</t>
        </is>
      </c>
      <c r="S197" s="3" t="inlineStr">
        <is>
          <t>B196_DECOM-FL-Random-Full-Sand-Many.json</t>
        </is>
      </c>
      <c r="T197" s="3" t="n">
        <v>100</v>
      </c>
      <c r="U197" s="3" t="n">
        <v>1196</v>
      </c>
      <c r="V197" s="3" t="n"/>
      <c r="W197" s="3" t="n">
        <v>118</v>
      </c>
      <c r="X197" s="3">
        <f>ROUND((T197+1)*'Read me'!$C$14/60,1)</f>
        <v/>
      </c>
      <c r="Y197" s="8" t="n"/>
      <c r="Z197" s="8" t="inlineStr">
        <is>
          <t>Not started</t>
        </is>
      </c>
      <c r="AA197" s="8" t="n"/>
      <c r="AB197" s="8" t="n"/>
      <c r="AC197" s="8" t="n"/>
      <c r="AD197" s="8" t="n"/>
      <c r="AE197" s="8" t="n"/>
      <c r="AF197" s="8" t="n"/>
      <c r="AG197" s="8" t="n"/>
      <c r="AH197" s="8" t="n"/>
      <c r="AI197" s="8" t="n"/>
      <c r="AJ197" s="8">
        <f>IF(OR(AH197="",'Submission &amp; QC'!$C$18=""),"",IF(AND(ABS(AH197-'Submission &amp; QC'!$C$18)&lt;=0.0005*ABS('Submission &amp; QC'!$C$18),ABS(AI197-'Submission &amp; QC'!$C$19)&lt;=0.0005*ABS('Submission &amp; QC'!$C$19)),"Pass","Fail"))</f>
        <v/>
      </c>
      <c r="AK197" s="8" t="n"/>
      <c r="AL197" s="8" t="n"/>
    </row>
    <row r="198" ht="210" customHeight="1">
      <c r="A198" s="3" t="inlineStr">
        <is>
          <t>B197</t>
        </is>
      </c>
      <c r="B198" s="9" t="inlineStr">
        <is>
          <t>B</t>
        </is>
      </c>
      <c r="C198" s="3" t="n">
        <v>3</v>
      </c>
      <c r="D198" s="3" t="inlineStr">
        <is>
          <t>Decommission</t>
        </is>
      </c>
      <c r="E198" s="3" t="inlineStr">
        <is>
          <t>DECOM-FL-Random-Partial-Prop-Few</t>
        </is>
      </c>
      <c r="F198" s="3" t="inlineStr">
        <is>
          <t>Decommission: few: 1-10 removals, random first, partial removal / toppling (50%; $30,000 + $600/m), freed area to natural habitats, proportionally, Florida panhandle (east of the Perdido River)</t>
        </is>
      </c>
      <c r="G198" s="3" t="inlineStr">
        <is>
          <t>Florida panhandle (east of the Perdido River)</t>
        </is>
      </c>
      <c r="H198" s="3" t="n"/>
      <c r="I198" s="3" t="n"/>
      <c r="J198" s="3" t="n"/>
      <c r="K198" s="3" t="n"/>
      <c r="L198" s="3" t="inlineStr">
        <is>
          <t>Random</t>
        </is>
      </c>
      <c r="M198" s="3" t="inlineStr">
        <is>
          <t>Partial removal / toppling (50%; $30,000 + $600/m)</t>
        </is>
      </c>
      <c r="N198" s="3" t="inlineStr">
        <is>
          <t>Natural habitats, proportionally</t>
        </is>
      </c>
      <c r="O198" s="3" t="inlineStr">
        <is>
          <t>Few: 1-10 removals</t>
        </is>
      </c>
      <c r="P198" s="3" t="n"/>
      <c r="Q198" s="3" t="n"/>
      <c r="R198"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Random
Decommissioning &gt; Freed area becomes: Natural habitats, proportionally
Decommissioning &gt; Min removals: 1
Decommissioning &gt; Max removals: 10
Decommissioning &gt; Fraction of each structure removed: 0.5
Live solver / Search &gt; Number of scenarios to run: 100
Search &gt; Search algorithm: Random search
Search &gt; Random seed: 1,197</t>
        </is>
      </c>
      <c r="S198" s="3" t="inlineStr">
        <is>
          <t>B197_DECOM-FL-Random-Partial-Prop-Few.json</t>
        </is>
      </c>
      <c r="T198" s="3" t="n">
        <v>100</v>
      </c>
      <c r="U198" s="3" t="n">
        <v>1197</v>
      </c>
      <c r="V198" s="3" t="n"/>
      <c r="W198" s="3" t="n">
        <v>118</v>
      </c>
      <c r="X198" s="3">
        <f>ROUND((T198+1)*'Read me'!$C$14/60,1)</f>
        <v/>
      </c>
      <c r="Y198" s="8" t="n"/>
      <c r="Z198" s="8" t="inlineStr">
        <is>
          <t>Not started</t>
        </is>
      </c>
      <c r="AA198" s="8" t="n"/>
      <c r="AB198" s="8" t="n"/>
      <c r="AC198" s="8" t="n"/>
      <c r="AD198" s="8" t="n"/>
      <c r="AE198" s="8" t="n"/>
      <c r="AF198" s="8" t="n"/>
      <c r="AG198" s="8" t="n"/>
      <c r="AH198" s="8" t="n"/>
      <c r="AI198" s="8" t="n"/>
      <c r="AJ198" s="8">
        <f>IF(OR(AH198="",'Submission &amp; QC'!$C$18=""),"",IF(AND(ABS(AH198-'Submission &amp; QC'!$C$18)&lt;=0.0005*ABS('Submission &amp; QC'!$C$18),ABS(AI198-'Submission &amp; QC'!$C$19)&lt;=0.0005*ABS('Submission &amp; QC'!$C$19)),"Pass","Fail"))</f>
        <v/>
      </c>
      <c r="AK198" s="8" t="n"/>
      <c r="AL198" s="8" t="n"/>
    </row>
    <row r="199" ht="210" customHeight="1">
      <c r="A199" s="3" t="inlineStr">
        <is>
          <t>B198</t>
        </is>
      </c>
      <c r="B199" s="9" t="inlineStr">
        <is>
          <t>B</t>
        </is>
      </c>
      <c r="C199" s="3" t="n">
        <v>3</v>
      </c>
      <c r="D199" s="3" t="inlineStr">
        <is>
          <t>Decommission</t>
        </is>
      </c>
      <c r="E199" s="3" t="inlineStr">
        <is>
          <t>DECOM-FL-Random-Partial-Prop-Many</t>
        </is>
      </c>
      <c r="F199" s="3" t="inlineStr">
        <is>
          <t>Decommission: many: 11-50 removals, random first, partial removal / toppling (50%; $30,000 + $600/m), freed area to natural habitats, proportionally, Florida panhandle (east of the Perdido River)</t>
        </is>
      </c>
      <c r="G199" s="3" t="inlineStr">
        <is>
          <t>Florida panhandle (east of the Perdido River)</t>
        </is>
      </c>
      <c r="H199" s="3" t="n"/>
      <c r="I199" s="3" t="n"/>
      <c r="J199" s="3" t="n"/>
      <c r="K199" s="3" t="n"/>
      <c r="L199" s="3" t="inlineStr">
        <is>
          <t>Random</t>
        </is>
      </c>
      <c r="M199" s="3" t="inlineStr">
        <is>
          <t>Partial removal / toppling (50%; $30,000 + $600/m)</t>
        </is>
      </c>
      <c r="N199" s="3" t="inlineStr">
        <is>
          <t>Natural habitats, proportionally</t>
        </is>
      </c>
      <c r="O199" s="3" t="inlineStr">
        <is>
          <t>Many: 11-50 removals</t>
        </is>
      </c>
      <c r="P199" s="3" t="n"/>
      <c r="Q199" s="3" t="n"/>
      <c r="R199"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Random
Decommissioning &gt; Freed area becomes: Natural habitats, proportionally
Decommissioning &gt; Min removals: 11
Decommissioning &gt; Max removals: 50
Decommissioning &gt; Fraction of each structure removed: 0.5
Live solver / Search &gt; Number of scenarios to run: 100
Search &gt; Search algorithm: Random search
Search &gt; Random seed: 1,198</t>
        </is>
      </c>
      <c r="S199" s="3" t="inlineStr">
        <is>
          <t>B198_DECOM-FL-Random-Partial-Prop-Many.json</t>
        </is>
      </c>
      <c r="T199" s="3" t="n">
        <v>100</v>
      </c>
      <c r="U199" s="3" t="n">
        <v>1198</v>
      </c>
      <c r="V199" s="3" t="n"/>
      <c r="W199" s="3" t="n">
        <v>118</v>
      </c>
      <c r="X199" s="3">
        <f>ROUND((T199+1)*'Read me'!$C$14/60,1)</f>
        <v/>
      </c>
      <c r="Y199" s="8" t="n"/>
      <c r="Z199" s="8" t="inlineStr">
        <is>
          <t>Not started</t>
        </is>
      </c>
      <c r="AA199" s="8" t="n"/>
      <c r="AB199" s="8" t="n"/>
      <c r="AC199" s="8" t="n"/>
      <c r="AD199" s="8" t="n"/>
      <c r="AE199" s="8" t="n"/>
      <c r="AF199" s="8" t="n"/>
      <c r="AG199" s="8" t="n"/>
      <c r="AH199" s="8" t="n"/>
      <c r="AI199" s="8" t="n"/>
      <c r="AJ199" s="8">
        <f>IF(OR(AH199="",'Submission &amp; QC'!$C$18=""),"",IF(AND(ABS(AH199-'Submission &amp; QC'!$C$18)&lt;=0.0005*ABS('Submission &amp; QC'!$C$18),ABS(AI199-'Submission &amp; QC'!$C$19)&lt;=0.0005*ABS('Submission &amp; QC'!$C$19)),"Pass","Fail"))</f>
        <v/>
      </c>
      <c r="AK199" s="8" t="n"/>
      <c r="AL199" s="8" t="n"/>
    </row>
    <row r="200" ht="210" customHeight="1">
      <c r="A200" s="3" t="inlineStr">
        <is>
          <t>B199</t>
        </is>
      </c>
      <c r="B200" s="9" t="inlineStr">
        <is>
          <t>B</t>
        </is>
      </c>
      <c r="C200" s="3" t="n">
        <v>3</v>
      </c>
      <c r="D200" s="3" t="inlineStr">
        <is>
          <t>Decommission</t>
        </is>
      </c>
      <c r="E200" s="3" t="inlineStr">
        <is>
          <t>DECOM-FL-Random-Partial-Sand-Few</t>
        </is>
      </c>
      <c r="F200" s="3" t="inlineStr">
        <is>
          <t>Decommission: few: 1-10 removals, random first, partial removal / toppling (50%; $30,000 + $600/m), freed area to sand, Florida panhandle (east of the Perdido River)</t>
        </is>
      </c>
      <c r="G200" s="3" t="inlineStr">
        <is>
          <t>Florida panhandle (east of the Perdido River)</t>
        </is>
      </c>
      <c r="H200" s="3" t="n"/>
      <c r="I200" s="3" t="n"/>
      <c r="J200" s="3" t="n"/>
      <c r="K200" s="3" t="n"/>
      <c r="L200" s="3" t="inlineStr">
        <is>
          <t>Random</t>
        </is>
      </c>
      <c r="M200" s="3" t="inlineStr">
        <is>
          <t>Partial removal / toppling (50%; $30,000 + $600/m)</t>
        </is>
      </c>
      <c r="N200" s="3" t="inlineStr">
        <is>
          <t>Sand</t>
        </is>
      </c>
      <c r="O200" s="3" t="inlineStr">
        <is>
          <t>Few: 1-10 removals</t>
        </is>
      </c>
      <c r="P200" s="3" t="n"/>
      <c r="Q200" s="3" t="n"/>
      <c r="R200"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Random
Decommissioning &gt; Freed area becomes: sand
Decommissioning &gt; Min removals: 1
Decommissioning &gt; Max removals: 10
Decommissioning &gt; Fraction of each structure removed: 0.5
Live solver / Search &gt; Number of scenarios to run: 100
Search &gt; Search algorithm: Random search
Search &gt; Random seed: 1,199</t>
        </is>
      </c>
      <c r="S200" s="3" t="inlineStr">
        <is>
          <t>B199_DECOM-FL-Random-Partial-Sand-Few.json</t>
        </is>
      </c>
      <c r="T200" s="3" t="n">
        <v>100</v>
      </c>
      <c r="U200" s="3" t="n">
        <v>1199</v>
      </c>
      <c r="V200" s="3" t="n"/>
      <c r="W200" s="3" t="n">
        <v>118</v>
      </c>
      <c r="X200" s="3">
        <f>ROUND((T200+1)*'Read me'!$C$14/60,1)</f>
        <v/>
      </c>
      <c r="Y200" s="8" t="n"/>
      <c r="Z200" s="8" t="inlineStr">
        <is>
          <t>Not started</t>
        </is>
      </c>
      <c r="AA200" s="8" t="n"/>
      <c r="AB200" s="8" t="n"/>
      <c r="AC200" s="8" t="n"/>
      <c r="AD200" s="8" t="n"/>
      <c r="AE200" s="8" t="n"/>
      <c r="AF200" s="8" t="n"/>
      <c r="AG200" s="8" t="n"/>
      <c r="AH200" s="8" t="n"/>
      <c r="AI200" s="8" t="n"/>
      <c r="AJ200" s="8">
        <f>IF(OR(AH200="",'Submission &amp; QC'!$C$18=""),"",IF(AND(ABS(AH200-'Submission &amp; QC'!$C$18)&lt;=0.0005*ABS('Submission &amp; QC'!$C$18),ABS(AI200-'Submission &amp; QC'!$C$19)&lt;=0.0005*ABS('Submission &amp; QC'!$C$19)),"Pass","Fail"))</f>
        <v/>
      </c>
      <c r="AK200" s="8" t="n"/>
      <c r="AL200" s="8" t="n"/>
    </row>
    <row r="201" ht="210" customHeight="1">
      <c r="A201" s="3" t="inlineStr">
        <is>
          <t>B200</t>
        </is>
      </c>
      <c r="B201" s="9" t="inlineStr">
        <is>
          <t>B</t>
        </is>
      </c>
      <c r="C201" s="3" t="n">
        <v>3</v>
      </c>
      <c r="D201" s="3" t="inlineStr">
        <is>
          <t>Decommission</t>
        </is>
      </c>
      <c r="E201" s="3" t="inlineStr">
        <is>
          <t>DECOM-FL-Random-Partial-Sand-Many</t>
        </is>
      </c>
      <c r="F201" s="3" t="inlineStr">
        <is>
          <t>Decommission: many: 11-50 removals, random first, partial removal / toppling (50%; $30,000 + $600/m), freed area to sand, Florida panhandle (east of the Perdido River)</t>
        </is>
      </c>
      <c r="G201" s="3" t="inlineStr">
        <is>
          <t>Florida panhandle (east of the Perdido River)</t>
        </is>
      </c>
      <c r="H201" s="3" t="n"/>
      <c r="I201" s="3" t="n"/>
      <c r="J201" s="3" t="n"/>
      <c r="K201" s="3" t="n"/>
      <c r="L201" s="3" t="inlineStr">
        <is>
          <t>Random</t>
        </is>
      </c>
      <c r="M201" s="3" t="inlineStr">
        <is>
          <t>Partial removal / toppling (50%; $30,000 + $600/m)</t>
        </is>
      </c>
      <c r="N201" s="3" t="inlineStr">
        <is>
          <t>Sand</t>
        </is>
      </c>
      <c r="O201" s="3" t="inlineStr">
        <is>
          <t>Many: 11-50 removals</t>
        </is>
      </c>
      <c r="P201" s="3" t="n"/>
      <c r="Q201" s="3" t="n"/>
      <c r="R201"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Random
Decommissioning &gt; Freed area becomes: sand
Decommissioning &gt; Min removals: 11
Decommissioning &gt; Max removals: 50
Decommissioning &gt; Fraction of each structure removed: 0.5
Live solver / Search &gt; Number of scenarios to run: 100
Search &gt; Search algorithm: Random search
Search &gt; Random seed: 1,200</t>
        </is>
      </c>
      <c r="S201" s="3" t="inlineStr">
        <is>
          <t>B200_DECOM-FL-Random-Partial-Sand-Many.json</t>
        </is>
      </c>
      <c r="T201" s="3" t="n">
        <v>100</v>
      </c>
      <c r="U201" s="3" t="n">
        <v>1200</v>
      </c>
      <c r="V201" s="3" t="n"/>
      <c r="W201" s="3" t="n">
        <v>118</v>
      </c>
      <c r="X201" s="3">
        <f>ROUND((T201+1)*'Read me'!$C$14/60,1)</f>
        <v/>
      </c>
      <c r="Y201" s="8" t="n"/>
      <c r="Z201" s="8" t="inlineStr">
        <is>
          <t>Not started</t>
        </is>
      </c>
      <c r="AA201" s="8" t="n"/>
      <c r="AB201" s="8" t="n"/>
      <c r="AC201" s="8" t="n"/>
      <c r="AD201" s="8" t="n"/>
      <c r="AE201" s="8" t="n"/>
      <c r="AF201" s="8" t="n"/>
      <c r="AG201" s="8" t="n"/>
      <c r="AH201" s="8" t="n"/>
      <c r="AI201" s="8" t="n"/>
      <c r="AJ201" s="8">
        <f>IF(OR(AH201="",'Submission &amp; QC'!$C$18=""),"",IF(AND(ABS(AH201-'Submission &amp; QC'!$C$18)&lt;=0.0005*ABS('Submission &amp; QC'!$C$18),ABS(AI201-'Submission &amp; QC'!$C$19)&lt;=0.0005*ABS('Submission &amp; QC'!$C$19)),"Pass","Fail"))</f>
        <v/>
      </c>
      <c r="AK201" s="8" t="n"/>
      <c r="AL201" s="8" t="n"/>
    </row>
    <row r="202" ht="210" customHeight="1">
      <c r="A202" s="3" t="inlineStr">
        <is>
          <t>B201</t>
        </is>
      </c>
      <c r="B202" s="9" t="inlineStr">
        <is>
          <t>B</t>
        </is>
      </c>
      <c r="C202" s="3" t="n">
        <v>3</v>
      </c>
      <c r="D202" s="3" t="inlineStr">
        <is>
          <t>Decommission</t>
        </is>
      </c>
      <c r="E202" s="3" t="inlineStr">
        <is>
          <t>DECOM-FL-Shallowest-Full-Prop-Few</t>
        </is>
      </c>
      <c r="F202" s="3" t="inlineStr">
        <is>
          <t>Decommission: few: 1-10 removals, shallowest first, full removal (100%; $50,000 + $1,000/m), freed area to natural habitats, proportionally, Florida panhandle (east of the Perdido River)</t>
        </is>
      </c>
      <c r="G202" s="3" t="inlineStr">
        <is>
          <t>Florida panhandle (east of the Perdido River)</t>
        </is>
      </c>
      <c r="H202" s="3" t="n"/>
      <c r="I202" s="3" t="n"/>
      <c r="J202" s="3" t="n"/>
      <c r="K202" s="3" t="n"/>
      <c r="L202" s="3" t="inlineStr">
        <is>
          <t>Shallowest</t>
        </is>
      </c>
      <c r="M202" s="3" t="inlineStr">
        <is>
          <t>Full removal (100%; $50,000 + $1,000/m)</t>
        </is>
      </c>
      <c r="N202" s="3" t="inlineStr">
        <is>
          <t>Natural habitats, proportionally</t>
        </is>
      </c>
      <c r="O202" s="3" t="inlineStr">
        <is>
          <t>Few: 1-10 removals</t>
        </is>
      </c>
      <c r="P202" s="3" t="n"/>
      <c r="Q202" s="3" t="n"/>
      <c r="R202"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Prefer shallowest
Decommissioning &gt; Freed area becomes: Natural habitats, proportionally
Decommissioning &gt; Min removals: 1
Decommissioning &gt; Max removals: 10
Decommissioning &gt; Fraction of each structure removed: 1.0
Live solver / Search &gt; Number of scenarios to run: 100
Search &gt; Search algorithm: Random search
Search &gt; Random seed: 1,201</t>
        </is>
      </c>
      <c r="S202" s="3" t="inlineStr">
        <is>
          <t>B201_DECOM-FL-Shallowest-Full-Prop-Few.json</t>
        </is>
      </c>
      <c r="T202" s="3" t="n">
        <v>100</v>
      </c>
      <c r="U202" s="3" t="n">
        <v>1201</v>
      </c>
      <c r="V202" s="3" t="n"/>
      <c r="W202" s="3" t="n">
        <v>118</v>
      </c>
      <c r="X202" s="3">
        <f>ROUND((T202+1)*'Read me'!$C$14/60,1)</f>
        <v/>
      </c>
      <c r="Y202" s="8" t="n"/>
      <c r="Z202" s="8" t="inlineStr">
        <is>
          <t>Not started</t>
        </is>
      </c>
      <c r="AA202" s="8" t="n"/>
      <c r="AB202" s="8" t="n"/>
      <c r="AC202" s="8" t="n"/>
      <c r="AD202" s="8" t="n"/>
      <c r="AE202" s="8" t="n"/>
      <c r="AF202" s="8" t="n"/>
      <c r="AG202" s="8" t="n"/>
      <c r="AH202" s="8" t="n"/>
      <c r="AI202" s="8" t="n"/>
      <c r="AJ202" s="8">
        <f>IF(OR(AH202="",'Submission &amp; QC'!$C$18=""),"",IF(AND(ABS(AH202-'Submission &amp; QC'!$C$18)&lt;=0.0005*ABS('Submission &amp; QC'!$C$18),ABS(AI202-'Submission &amp; QC'!$C$19)&lt;=0.0005*ABS('Submission &amp; QC'!$C$19)),"Pass","Fail"))</f>
        <v/>
      </c>
      <c r="AK202" s="8" t="n"/>
      <c r="AL202" s="8" t="n"/>
    </row>
    <row r="203" ht="210" customHeight="1">
      <c r="A203" s="3" t="inlineStr">
        <is>
          <t>B202</t>
        </is>
      </c>
      <c r="B203" s="9" t="inlineStr">
        <is>
          <t>B</t>
        </is>
      </c>
      <c r="C203" s="3" t="n">
        <v>3</v>
      </c>
      <c r="D203" s="3" t="inlineStr">
        <is>
          <t>Decommission</t>
        </is>
      </c>
      <c r="E203" s="3" t="inlineStr">
        <is>
          <t>DECOM-FL-Shallowest-Full-Prop-Many</t>
        </is>
      </c>
      <c r="F203" s="3" t="inlineStr">
        <is>
          <t>Decommission: many: 11-50 removals, shallowest first, full removal (100%; $50,000 + $1,000/m), freed area to natural habitats, proportionally, Florida panhandle (east of the Perdido River)</t>
        </is>
      </c>
      <c r="G203" s="3" t="inlineStr">
        <is>
          <t>Florida panhandle (east of the Perdido River)</t>
        </is>
      </c>
      <c r="H203" s="3" t="n"/>
      <c r="I203" s="3" t="n"/>
      <c r="J203" s="3" t="n"/>
      <c r="K203" s="3" t="n"/>
      <c r="L203" s="3" t="inlineStr">
        <is>
          <t>Shallowest</t>
        </is>
      </c>
      <c r="M203" s="3" t="inlineStr">
        <is>
          <t>Full removal (100%; $50,000 + $1,000/m)</t>
        </is>
      </c>
      <c r="N203" s="3" t="inlineStr">
        <is>
          <t>Natural habitats, proportionally</t>
        </is>
      </c>
      <c r="O203" s="3" t="inlineStr">
        <is>
          <t>Many: 11-50 removals</t>
        </is>
      </c>
      <c r="P203" s="3" t="n"/>
      <c r="Q203" s="3" t="n"/>
      <c r="R203"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Prefer shallowest
Decommissioning &gt; Freed area becomes: Natural habitats, proportionally
Decommissioning &gt; Min removals: 11
Decommissioning &gt; Max removals: 50
Decommissioning &gt; Fraction of each structure removed: 1.0
Live solver / Search &gt; Number of scenarios to run: 100
Search &gt; Search algorithm: Random search
Search &gt; Random seed: 1,202</t>
        </is>
      </c>
      <c r="S203" s="3" t="inlineStr">
        <is>
          <t>B202_DECOM-FL-Shallowest-Full-Prop-Many.json</t>
        </is>
      </c>
      <c r="T203" s="3" t="n">
        <v>100</v>
      </c>
      <c r="U203" s="3" t="n">
        <v>1202</v>
      </c>
      <c r="V203" s="3" t="n"/>
      <c r="W203" s="3" t="n">
        <v>118</v>
      </c>
      <c r="X203" s="3">
        <f>ROUND((T203+1)*'Read me'!$C$14/60,1)</f>
        <v/>
      </c>
      <c r="Y203" s="8" t="n"/>
      <c r="Z203" s="8" t="inlineStr">
        <is>
          <t>Not started</t>
        </is>
      </c>
      <c r="AA203" s="8" t="n"/>
      <c r="AB203" s="8" t="n"/>
      <c r="AC203" s="8" t="n"/>
      <c r="AD203" s="8" t="n"/>
      <c r="AE203" s="8" t="n"/>
      <c r="AF203" s="8" t="n"/>
      <c r="AG203" s="8" t="n"/>
      <c r="AH203" s="8" t="n"/>
      <c r="AI203" s="8" t="n"/>
      <c r="AJ203" s="8">
        <f>IF(OR(AH203="",'Submission &amp; QC'!$C$18=""),"",IF(AND(ABS(AH203-'Submission &amp; QC'!$C$18)&lt;=0.0005*ABS('Submission &amp; QC'!$C$18),ABS(AI203-'Submission &amp; QC'!$C$19)&lt;=0.0005*ABS('Submission &amp; QC'!$C$19)),"Pass","Fail"))</f>
        <v/>
      </c>
      <c r="AK203" s="8" t="n"/>
      <c r="AL203" s="8" t="n"/>
    </row>
    <row r="204" ht="210" customHeight="1">
      <c r="A204" s="3" t="inlineStr">
        <is>
          <t>B203</t>
        </is>
      </c>
      <c r="B204" s="9" t="inlineStr">
        <is>
          <t>B</t>
        </is>
      </c>
      <c r="C204" s="3" t="n">
        <v>3</v>
      </c>
      <c r="D204" s="3" t="inlineStr">
        <is>
          <t>Decommission</t>
        </is>
      </c>
      <c r="E204" s="3" t="inlineStr">
        <is>
          <t>DECOM-FL-Shallowest-Full-Sand-Few</t>
        </is>
      </c>
      <c r="F204" s="3" t="inlineStr">
        <is>
          <t>Decommission: few: 1-10 removals, shallowest first, full removal (100%; $50,000 + $1,000/m), freed area to sand, Florida panhandle (east of the Perdido River)</t>
        </is>
      </c>
      <c r="G204" s="3" t="inlineStr">
        <is>
          <t>Florida panhandle (east of the Perdido River)</t>
        </is>
      </c>
      <c r="H204" s="3" t="n"/>
      <c r="I204" s="3" t="n"/>
      <c r="J204" s="3" t="n"/>
      <c r="K204" s="3" t="n"/>
      <c r="L204" s="3" t="inlineStr">
        <is>
          <t>Shallowest</t>
        </is>
      </c>
      <c r="M204" s="3" t="inlineStr">
        <is>
          <t>Full removal (100%; $50,000 + $1,000/m)</t>
        </is>
      </c>
      <c r="N204" s="3" t="inlineStr">
        <is>
          <t>Sand</t>
        </is>
      </c>
      <c r="O204" s="3" t="inlineStr">
        <is>
          <t>Few: 1-10 removals</t>
        </is>
      </c>
      <c r="P204" s="3" t="n"/>
      <c r="Q204" s="3" t="n"/>
      <c r="R204"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Prefer shallowest
Decommissioning &gt; Freed area becomes: sand
Decommissioning &gt; Min removals: 1
Decommissioning &gt; Max removals: 10
Decommissioning &gt; Fraction of each structure removed: 1.0
Live solver / Search &gt; Number of scenarios to run: 100
Search &gt; Search algorithm: Random search
Search &gt; Random seed: 1,203</t>
        </is>
      </c>
      <c r="S204" s="3" t="inlineStr">
        <is>
          <t>B203_DECOM-FL-Shallowest-Full-Sand-Few.json</t>
        </is>
      </c>
      <c r="T204" s="3" t="n">
        <v>100</v>
      </c>
      <c r="U204" s="3" t="n">
        <v>1203</v>
      </c>
      <c r="V204" s="3" t="n"/>
      <c r="W204" s="3" t="n">
        <v>118</v>
      </c>
      <c r="X204" s="3">
        <f>ROUND((T204+1)*'Read me'!$C$14/60,1)</f>
        <v/>
      </c>
      <c r="Y204" s="8" t="n"/>
      <c r="Z204" s="8" t="inlineStr">
        <is>
          <t>Not started</t>
        </is>
      </c>
      <c r="AA204" s="8" t="n"/>
      <c r="AB204" s="8" t="n"/>
      <c r="AC204" s="8" t="n"/>
      <c r="AD204" s="8" t="n"/>
      <c r="AE204" s="8" t="n"/>
      <c r="AF204" s="8" t="n"/>
      <c r="AG204" s="8" t="n"/>
      <c r="AH204" s="8" t="n"/>
      <c r="AI204" s="8" t="n"/>
      <c r="AJ204" s="8">
        <f>IF(OR(AH204="",'Submission &amp; QC'!$C$18=""),"",IF(AND(ABS(AH204-'Submission &amp; QC'!$C$18)&lt;=0.0005*ABS('Submission &amp; QC'!$C$18),ABS(AI204-'Submission &amp; QC'!$C$19)&lt;=0.0005*ABS('Submission &amp; QC'!$C$19)),"Pass","Fail"))</f>
        <v/>
      </c>
      <c r="AK204" s="8" t="n"/>
      <c r="AL204" s="8" t="n"/>
    </row>
    <row r="205" ht="210" customHeight="1">
      <c r="A205" s="3" t="inlineStr">
        <is>
          <t>B204</t>
        </is>
      </c>
      <c r="B205" s="9" t="inlineStr">
        <is>
          <t>B</t>
        </is>
      </c>
      <c r="C205" s="3" t="n">
        <v>3</v>
      </c>
      <c r="D205" s="3" t="inlineStr">
        <is>
          <t>Decommission</t>
        </is>
      </c>
      <c r="E205" s="3" t="inlineStr">
        <is>
          <t>DECOM-FL-Shallowest-Full-Sand-Many</t>
        </is>
      </c>
      <c r="F205" s="3" t="inlineStr">
        <is>
          <t>Decommission: many: 11-50 removals, shallowest first, full removal (100%; $50,000 + $1,000/m), freed area to sand, Florida panhandle (east of the Perdido River)</t>
        </is>
      </c>
      <c r="G205" s="3" t="inlineStr">
        <is>
          <t>Florida panhandle (east of the Perdido River)</t>
        </is>
      </c>
      <c r="H205" s="3" t="n"/>
      <c r="I205" s="3" t="n"/>
      <c r="J205" s="3" t="n"/>
      <c r="K205" s="3" t="n"/>
      <c r="L205" s="3" t="inlineStr">
        <is>
          <t>Shallowest</t>
        </is>
      </c>
      <c r="M205" s="3" t="inlineStr">
        <is>
          <t>Full removal (100%; $50,000 + $1,000/m)</t>
        </is>
      </c>
      <c r="N205" s="3" t="inlineStr">
        <is>
          <t>Sand</t>
        </is>
      </c>
      <c r="O205" s="3" t="inlineStr">
        <is>
          <t>Many: 11-50 removals</t>
        </is>
      </c>
      <c r="P205" s="3" t="n"/>
      <c r="Q205" s="3" t="n"/>
      <c r="R205"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Prefer shallowest
Decommissioning &gt; Freed area becomes: sand
Decommissioning &gt; Min removals: 11
Decommissioning &gt; Max removals: 50
Decommissioning &gt; Fraction of each structure removed: 1.0
Live solver / Search &gt; Number of scenarios to run: 100
Search &gt; Search algorithm: Random search
Search &gt; Random seed: 1,204</t>
        </is>
      </c>
      <c r="S205" s="3" t="inlineStr">
        <is>
          <t>B204_DECOM-FL-Shallowest-Full-Sand-Many.json</t>
        </is>
      </c>
      <c r="T205" s="3" t="n">
        <v>100</v>
      </c>
      <c r="U205" s="3" t="n">
        <v>1204</v>
      </c>
      <c r="V205" s="3" t="n"/>
      <c r="W205" s="3" t="n">
        <v>118</v>
      </c>
      <c r="X205" s="3">
        <f>ROUND((T205+1)*'Read me'!$C$14/60,1)</f>
        <v/>
      </c>
      <c r="Y205" s="8" t="n"/>
      <c r="Z205" s="8" t="inlineStr">
        <is>
          <t>Not started</t>
        </is>
      </c>
      <c r="AA205" s="8" t="n"/>
      <c r="AB205" s="8" t="n"/>
      <c r="AC205" s="8" t="n"/>
      <c r="AD205" s="8" t="n"/>
      <c r="AE205" s="8" t="n"/>
      <c r="AF205" s="8" t="n"/>
      <c r="AG205" s="8" t="n"/>
      <c r="AH205" s="8" t="n"/>
      <c r="AI205" s="8" t="n"/>
      <c r="AJ205" s="8">
        <f>IF(OR(AH205="",'Submission &amp; QC'!$C$18=""),"",IF(AND(ABS(AH205-'Submission &amp; QC'!$C$18)&lt;=0.0005*ABS('Submission &amp; QC'!$C$18),ABS(AI205-'Submission &amp; QC'!$C$19)&lt;=0.0005*ABS('Submission &amp; QC'!$C$19)),"Pass","Fail"))</f>
        <v/>
      </c>
      <c r="AK205" s="8" t="n"/>
      <c r="AL205" s="8" t="n"/>
    </row>
    <row r="206" ht="210" customHeight="1">
      <c r="A206" s="3" t="inlineStr">
        <is>
          <t>B205</t>
        </is>
      </c>
      <c r="B206" s="9" t="inlineStr">
        <is>
          <t>B</t>
        </is>
      </c>
      <c r="C206" s="3" t="n">
        <v>3</v>
      </c>
      <c r="D206" s="3" t="inlineStr">
        <is>
          <t>Decommission</t>
        </is>
      </c>
      <c r="E206" s="3" t="inlineStr">
        <is>
          <t>DECOM-FL-Shallowest-Partial-Prop-Few</t>
        </is>
      </c>
      <c r="F206" s="3" t="inlineStr">
        <is>
          <t>Decommission: few: 1-10 removals, shallowest first, partial removal / toppling (50%; $30,000 + $600/m), freed area to natural habitats, proportionally, Florida panhandle (east of the Perdido River)</t>
        </is>
      </c>
      <c r="G206" s="3" t="inlineStr">
        <is>
          <t>Florida panhandle (east of the Perdido River)</t>
        </is>
      </c>
      <c r="H206" s="3" t="n"/>
      <c r="I206" s="3" t="n"/>
      <c r="J206" s="3" t="n"/>
      <c r="K206" s="3" t="n"/>
      <c r="L206" s="3" t="inlineStr">
        <is>
          <t>Shallowest</t>
        </is>
      </c>
      <c r="M206" s="3" t="inlineStr">
        <is>
          <t>Partial removal / toppling (50%; $30,000 + $600/m)</t>
        </is>
      </c>
      <c r="N206" s="3" t="inlineStr">
        <is>
          <t>Natural habitats, proportionally</t>
        </is>
      </c>
      <c r="O206" s="3" t="inlineStr">
        <is>
          <t>Few: 1-10 removals</t>
        </is>
      </c>
      <c r="P206" s="3" t="n"/>
      <c r="Q206" s="3" t="n"/>
      <c r="R206"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Prefer shallowest
Decommissioning &gt; Freed area becomes: Natural habitats, proportionally
Decommissioning &gt; Min removals: 1
Decommissioning &gt; Max removals: 10
Decommissioning &gt; Fraction of each structure removed: 0.5
Live solver / Search &gt; Number of scenarios to run: 100
Search &gt; Search algorithm: Random search
Search &gt; Random seed: 1,205</t>
        </is>
      </c>
      <c r="S206" s="3" t="inlineStr">
        <is>
          <t>B205_DECOM-FL-Shallowest-Partial-Prop-Few.json</t>
        </is>
      </c>
      <c r="T206" s="3" t="n">
        <v>100</v>
      </c>
      <c r="U206" s="3" t="n">
        <v>1205</v>
      </c>
      <c r="V206" s="3" t="n"/>
      <c r="W206" s="3" t="n">
        <v>118</v>
      </c>
      <c r="X206" s="3">
        <f>ROUND((T206+1)*'Read me'!$C$14/60,1)</f>
        <v/>
      </c>
      <c r="Y206" s="8" t="n"/>
      <c r="Z206" s="8" t="inlineStr">
        <is>
          <t>Not started</t>
        </is>
      </c>
      <c r="AA206" s="8" t="n"/>
      <c r="AB206" s="8" t="n"/>
      <c r="AC206" s="8" t="n"/>
      <c r="AD206" s="8" t="n"/>
      <c r="AE206" s="8" t="n"/>
      <c r="AF206" s="8" t="n"/>
      <c r="AG206" s="8" t="n"/>
      <c r="AH206" s="8" t="n"/>
      <c r="AI206" s="8" t="n"/>
      <c r="AJ206" s="8">
        <f>IF(OR(AH206="",'Submission &amp; QC'!$C$18=""),"",IF(AND(ABS(AH206-'Submission &amp; QC'!$C$18)&lt;=0.0005*ABS('Submission &amp; QC'!$C$18),ABS(AI206-'Submission &amp; QC'!$C$19)&lt;=0.0005*ABS('Submission &amp; QC'!$C$19)),"Pass","Fail"))</f>
        <v/>
      </c>
      <c r="AK206" s="8" t="n"/>
      <c r="AL206" s="8" t="n"/>
    </row>
    <row r="207" ht="210" customHeight="1">
      <c r="A207" s="3" t="inlineStr">
        <is>
          <t>B206</t>
        </is>
      </c>
      <c r="B207" s="9" t="inlineStr">
        <is>
          <t>B</t>
        </is>
      </c>
      <c r="C207" s="3" t="n">
        <v>3</v>
      </c>
      <c r="D207" s="3" t="inlineStr">
        <is>
          <t>Decommission</t>
        </is>
      </c>
      <c r="E207" s="3" t="inlineStr">
        <is>
          <t>DECOM-FL-Shallowest-Partial-Prop-Many</t>
        </is>
      </c>
      <c r="F207" s="3" t="inlineStr">
        <is>
          <t>Decommission: many: 11-50 removals, shallowest first, partial removal / toppling (50%; $30,000 + $600/m), freed area to natural habitats, proportionally, Florida panhandle (east of the Perdido River)</t>
        </is>
      </c>
      <c r="G207" s="3" t="inlineStr">
        <is>
          <t>Florida panhandle (east of the Perdido River)</t>
        </is>
      </c>
      <c r="H207" s="3" t="n"/>
      <c r="I207" s="3" t="n"/>
      <c r="J207" s="3" t="n"/>
      <c r="K207" s="3" t="n"/>
      <c r="L207" s="3" t="inlineStr">
        <is>
          <t>Shallowest</t>
        </is>
      </c>
      <c r="M207" s="3" t="inlineStr">
        <is>
          <t>Partial removal / toppling (50%; $30,000 + $600/m)</t>
        </is>
      </c>
      <c r="N207" s="3" t="inlineStr">
        <is>
          <t>Natural habitats, proportionally</t>
        </is>
      </c>
      <c r="O207" s="3" t="inlineStr">
        <is>
          <t>Many: 11-50 removals</t>
        </is>
      </c>
      <c r="P207" s="3" t="n"/>
      <c r="Q207" s="3" t="n"/>
      <c r="R207"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Prefer shallowest
Decommissioning &gt; Freed area becomes: Natural habitats, proportionally
Decommissioning &gt; Min removals: 11
Decommissioning &gt; Max removals: 50
Decommissioning &gt; Fraction of each structure removed: 0.5
Live solver / Search &gt; Number of scenarios to run: 100
Search &gt; Search algorithm: Random search
Search &gt; Random seed: 1,206</t>
        </is>
      </c>
      <c r="S207" s="3" t="inlineStr">
        <is>
          <t>B206_DECOM-FL-Shallowest-Partial-Prop-Many.json</t>
        </is>
      </c>
      <c r="T207" s="3" t="n">
        <v>100</v>
      </c>
      <c r="U207" s="3" t="n">
        <v>1206</v>
      </c>
      <c r="V207" s="3" t="n"/>
      <c r="W207" s="3" t="n">
        <v>118</v>
      </c>
      <c r="X207" s="3">
        <f>ROUND((T207+1)*'Read me'!$C$14/60,1)</f>
        <v/>
      </c>
      <c r="Y207" s="8" t="n"/>
      <c r="Z207" s="8" t="inlineStr">
        <is>
          <t>Not started</t>
        </is>
      </c>
      <c r="AA207" s="8" t="n"/>
      <c r="AB207" s="8" t="n"/>
      <c r="AC207" s="8" t="n"/>
      <c r="AD207" s="8" t="n"/>
      <c r="AE207" s="8" t="n"/>
      <c r="AF207" s="8" t="n"/>
      <c r="AG207" s="8" t="n"/>
      <c r="AH207" s="8" t="n"/>
      <c r="AI207" s="8" t="n"/>
      <c r="AJ207" s="8">
        <f>IF(OR(AH207="",'Submission &amp; QC'!$C$18=""),"",IF(AND(ABS(AH207-'Submission &amp; QC'!$C$18)&lt;=0.0005*ABS('Submission &amp; QC'!$C$18),ABS(AI207-'Submission &amp; QC'!$C$19)&lt;=0.0005*ABS('Submission &amp; QC'!$C$19)),"Pass","Fail"))</f>
        <v/>
      </c>
      <c r="AK207" s="8" t="n"/>
      <c r="AL207" s="8" t="n"/>
    </row>
    <row r="208" ht="210" customHeight="1">
      <c r="A208" s="3" t="inlineStr">
        <is>
          <t>B207</t>
        </is>
      </c>
      <c r="B208" s="9" t="inlineStr">
        <is>
          <t>B</t>
        </is>
      </c>
      <c r="C208" s="3" t="n">
        <v>3</v>
      </c>
      <c r="D208" s="3" t="inlineStr">
        <is>
          <t>Decommission</t>
        </is>
      </c>
      <c r="E208" s="3" t="inlineStr">
        <is>
          <t>DECOM-FL-Shallowest-Partial-Sand-Few</t>
        </is>
      </c>
      <c r="F208" s="3" t="inlineStr">
        <is>
          <t>Decommission: few: 1-10 removals, shallowest first, partial removal / toppling (50%; $30,000 + $600/m), freed area to sand, Florida panhandle (east of the Perdido River)</t>
        </is>
      </c>
      <c r="G208" s="3" t="inlineStr">
        <is>
          <t>Florida panhandle (east of the Perdido River)</t>
        </is>
      </c>
      <c r="H208" s="3" t="n"/>
      <c r="I208" s="3" t="n"/>
      <c r="J208" s="3" t="n"/>
      <c r="K208" s="3" t="n"/>
      <c r="L208" s="3" t="inlineStr">
        <is>
          <t>Shallowest</t>
        </is>
      </c>
      <c r="M208" s="3" t="inlineStr">
        <is>
          <t>Partial removal / toppling (50%; $30,000 + $600/m)</t>
        </is>
      </c>
      <c r="N208" s="3" t="inlineStr">
        <is>
          <t>Sand</t>
        </is>
      </c>
      <c r="O208" s="3" t="inlineStr">
        <is>
          <t>Few: 1-10 removals</t>
        </is>
      </c>
      <c r="P208" s="3" t="n"/>
      <c r="Q208" s="3" t="n"/>
      <c r="R208"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Prefer shallowest
Decommissioning &gt; Freed area becomes: sand
Decommissioning &gt; Min removals: 1
Decommissioning &gt; Max removals: 10
Decommissioning &gt; Fraction of each structure removed: 0.5
Live solver / Search &gt; Number of scenarios to run: 100
Search &gt; Search algorithm: Random search
Search &gt; Random seed: 1,207</t>
        </is>
      </c>
      <c r="S208" s="3" t="inlineStr">
        <is>
          <t>B207_DECOM-FL-Shallowest-Partial-Sand-Few.json</t>
        </is>
      </c>
      <c r="T208" s="3" t="n">
        <v>100</v>
      </c>
      <c r="U208" s="3" t="n">
        <v>1207</v>
      </c>
      <c r="V208" s="3" t="n"/>
      <c r="W208" s="3" t="n">
        <v>118</v>
      </c>
      <c r="X208" s="3">
        <f>ROUND((T208+1)*'Read me'!$C$14/60,1)</f>
        <v/>
      </c>
      <c r="Y208" s="8" t="n"/>
      <c r="Z208" s="8" t="inlineStr">
        <is>
          <t>Not started</t>
        </is>
      </c>
      <c r="AA208" s="8" t="n"/>
      <c r="AB208" s="8" t="n"/>
      <c r="AC208" s="8" t="n"/>
      <c r="AD208" s="8" t="n"/>
      <c r="AE208" s="8" t="n"/>
      <c r="AF208" s="8" t="n"/>
      <c r="AG208" s="8" t="n"/>
      <c r="AH208" s="8" t="n"/>
      <c r="AI208" s="8" t="n"/>
      <c r="AJ208" s="8">
        <f>IF(OR(AH208="",'Submission &amp; QC'!$C$18=""),"",IF(AND(ABS(AH208-'Submission &amp; QC'!$C$18)&lt;=0.0005*ABS('Submission &amp; QC'!$C$18),ABS(AI208-'Submission &amp; QC'!$C$19)&lt;=0.0005*ABS('Submission &amp; QC'!$C$19)),"Pass","Fail"))</f>
        <v/>
      </c>
      <c r="AK208" s="8" t="n"/>
      <c r="AL208" s="8" t="n"/>
    </row>
    <row r="209" ht="210" customHeight="1">
      <c r="A209" s="3" t="inlineStr">
        <is>
          <t>B208</t>
        </is>
      </c>
      <c r="B209" s="9" t="inlineStr">
        <is>
          <t>B</t>
        </is>
      </c>
      <c r="C209" s="3" t="n">
        <v>3</v>
      </c>
      <c r="D209" s="3" t="inlineStr">
        <is>
          <t>Decommission</t>
        </is>
      </c>
      <c r="E209" s="3" t="inlineStr">
        <is>
          <t>DECOM-FL-Shallowest-Partial-Sand-Many</t>
        </is>
      </c>
      <c r="F209" s="3" t="inlineStr">
        <is>
          <t>Decommission: many: 11-50 removals, shallowest first, partial removal / toppling (50%; $30,000 + $600/m), freed area to sand, Florida panhandle (east of the Perdido River)</t>
        </is>
      </c>
      <c r="G209" s="3" t="inlineStr">
        <is>
          <t>Florida panhandle (east of the Perdido River)</t>
        </is>
      </c>
      <c r="H209" s="3" t="n"/>
      <c r="I209" s="3" t="n"/>
      <c r="J209" s="3" t="n"/>
      <c r="K209" s="3" t="n"/>
      <c r="L209" s="3" t="inlineStr">
        <is>
          <t>Shallowest</t>
        </is>
      </c>
      <c r="M209" s="3" t="inlineStr">
        <is>
          <t>Partial removal / toppling (50%; $30,000 + $600/m)</t>
        </is>
      </c>
      <c r="N209" s="3" t="inlineStr">
        <is>
          <t>Sand</t>
        </is>
      </c>
      <c r="O209" s="3" t="inlineStr">
        <is>
          <t>Many: 11-50 removals</t>
        </is>
      </c>
      <c r="P209" s="3" t="n"/>
      <c r="Q209" s="3" t="n"/>
      <c r="R209"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Prefer shallowest
Decommissioning &gt; Freed area becomes: sand
Decommissioning &gt; Min removals: 11
Decommissioning &gt; Max removals: 50
Decommissioning &gt; Fraction of each structure removed: 0.5
Live solver / Search &gt; Number of scenarios to run: 100
Search &gt; Search algorithm: Random search
Search &gt; Random seed: 1,208</t>
        </is>
      </c>
      <c r="S209" s="3" t="inlineStr">
        <is>
          <t>B208_DECOM-FL-Shallowest-Partial-Sand-Many.json</t>
        </is>
      </c>
      <c r="T209" s="3" t="n">
        <v>100</v>
      </c>
      <c r="U209" s="3" t="n">
        <v>1208</v>
      </c>
      <c r="V209" s="3" t="n"/>
      <c r="W209" s="3" t="n">
        <v>118</v>
      </c>
      <c r="X209" s="3">
        <f>ROUND((T209+1)*'Read me'!$C$14/60,1)</f>
        <v/>
      </c>
      <c r="Y209" s="8" t="n"/>
      <c r="Z209" s="8" t="inlineStr">
        <is>
          <t>Not started</t>
        </is>
      </c>
      <c r="AA209" s="8" t="n"/>
      <c r="AB209" s="8" t="n"/>
      <c r="AC209" s="8" t="n"/>
      <c r="AD209" s="8" t="n"/>
      <c r="AE209" s="8" t="n"/>
      <c r="AF209" s="8" t="n"/>
      <c r="AG209" s="8" t="n"/>
      <c r="AH209" s="8" t="n"/>
      <c r="AI209" s="8" t="n"/>
      <c r="AJ209" s="8">
        <f>IF(OR(AH209="",'Submission &amp; QC'!$C$18=""),"",IF(AND(ABS(AH209-'Submission &amp; QC'!$C$18)&lt;=0.0005*ABS('Submission &amp; QC'!$C$18),ABS(AI209-'Submission &amp; QC'!$C$19)&lt;=0.0005*ABS('Submission &amp; QC'!$C$19)),"Pass","Fail"))</f>
        <v/>
      </c>
      <c r="AK209" s="8" t="n"/>
      <c r="AL209" s="8" t="n"/>
    </row>
    <row r="210" ht="210" customHeight="1">
      <c r="A210" s="3" t="inlineStr">
        <is>
          <t>B209</t>
        </is>
      </c>
      <c r="B210" s="9" t="inlineStr">
        <is>
          <t>B</t>
        </is>
      </c>
      <c r="C210" s="3" t="n">
        <v>3</v>
      </c>
      <c r="D210" s="3" t="inlineStr">
        <is>
          <t>Decommission</t>
        </is>
      </c>
      <c r="E210" s="3" t="inlineStr">
        <is>
          <t>DECOM-FL-Deepest-Full-Prop-Few</t>
        </is>
      </c>
      <c r="F210" s="3" t="inlineStr">
        <is>
          <t>Decommission: few: 1-10 removals, deepest first, full removal (100%; $50,000 + $1,000/m), freed area to natural habitats, proportionally, Florida panhandle (east of the Perdido River)</t>
        </is>
      </c>
      <c r="G210" s="3" t="inlineStr">
        <is>
          <t>Florida panhandle (east of the Perdido River)</t>
        </is>
      </c>
      <c r="H210" s="3" t="n"/>
      <c r="I210" s="3" t="n"/>
      <c r="J210" s="3" t="n"/>
      <c r="K210" s="3" t="n"/>
      <c r="L210" s="3" t="inlineStr">
        <is>
          <t>Deepest</t>
        </is>
      </c>
      <c r="M210" s="3" t="inlineStr">
        <is>
          <t>Full removal (100%; $50,000 + $1,000/m)</t>
        </is>
      </c>
      <c r="N210" s="3" t="inlineStr">
        <is>
          <t>Natural habitats, proportionally</t>
        </is>
      </c>
      <c r="O210" s="3" t="inlineStr">
        <is>
          <t>Few: 1-10 removals</t>
        </is>
      </c>
      <c r="P210" s="3" t="n"/>
      <c r="Q210" s="3" t="n"/>
      <c r="R210"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Prefer deepest
Decommissioning &gt; Freed area becomes: Natural habitats, proportionally
Decommissioning &gt; Min removals: 1
Decommissioning &gt; Max removals: 10
Decommissioning &gt; Fraction of each structure removed: 1.0
Live solver / Search &gt; Number of scenarios to run: 100
Search &gt; Search algorithm: Random search
Search &gt; Random seed: 1,209</t>
        </is>
      </c>
      <c r="S210" s="3" t="inlineStr">
        <is>
          <t>B209_DECOM-FL-Deepest-Full-Prop-Few.json</t>
        </is>
      </c>
      <c r="T210" s="3" t="n">
        <v>100</v>
      </c>
      <c r="U210" s="3" t="n">
        <v>1209</v>
      </c>
      <c r="V210" s="3" t="n"/>
      <c r="W210" s="3" t="n">
        <v>118</v>
      </c>
      <c r="X210" s="3">
        <f>ROUND((T210+1)*'Read me'!$C$14/60,1)</f>
        <v/>
      </c>
      <c r="Y210" s="8" t="n"/>
      <c r="Z210" s="8" t="inlineStr">
        <is>
          <t>Not started</t>
        </is>
      </c>
      <c r="AA210" s="8" t="n"/>
      <c r="AB210" s="8" t="n"/>
      <c r="AC210" s="8" t="n"/>
      <c r="AD210" s="8" t="n"/>
      <c r="AE210" s="8" t="n"/>
      <c r="AF210" s="8" t="n"/>
      <c r="AG210" s="8" t="n"/>
      <c r="AH210" s="8" t="n"/>
      <c r="AI210" s="8" t="n"/>
      <c r="AJ210" s="8">
        <f>IF(OR(AH210="",'Submission &amp; QC'!$C$18=""),"",IF(AND(ABS(AH210-'Submission &amp; QC'!$C$18)&lt;=0.0005*ABS('Submission &amp; QC'!$C$18),ABS(AI210-'Submission &amp; QC'!$C$19)&lt;=0.0005*ABS('Submission &amp; QC'!$C$19)),"Pass","Fail"))</f>
        <v/>
      </c>
      <c r="AK210" s="8" t="n"/>
      <c r="AL210" s="8" t="n"/>
    </row>
    <row r="211" ht="210" customHeight="1">
      <c r="A211" s="3" t="inlineStr">
        <is>
          <t>B210</t>
        </is>
      </c>
      <c r="B211" s="9" t="inlineStr">
        <is>
          <t>B</t>
        </is>
      </c>
      <c r="C211" s="3" t="n">
        <v>3</v>
      </c>
      <c r="D211" s="3" t="inlineStr">
        <is>
          <t>Decommission</t>
        </is>
      </c>
      <c r="E211" s="3" t="inlineStr">
        <is>
          <t>DECOM-FL-Deepest-Full-Prop-Many</t>
        </is>
      </c>
      <c r="F211" s="3" t="inlineStr">
        <is>
          <t>Decommission: many: 11-50 removals, deepest first, full removal (100%; $50,000 + $1,000/m), freed area to natural habitats, proportionally, Florida panhandle (east of the Perdido River)</t>
        </is>
      </c>
      <c r="G211" s="3" t="inlineStr">
        <is>
          <t>Florida panhandle (east of the Perdido River)</t>
        </is>
      </c>
      <c r="H211" s="3" t="n"/>
      <c r="I211" s="3" t="n"/>
      <c r="J211" s="3" t="n"/>
      <c r="K211" s="3" t="n"/>
      <c r="L211" s="3" t="inlineStr">
        <is>
          <t>Deepest</t>
        </is>
      </c>
      <c r="M211" s="3" t="inlineStr">
        <is>
          <t>Full removal (100%; $50,000 + $1,000/m)</t>
        </is>
      </c>
      <c r="N211" s="3" t="inlineStr">
        <is>
          <t>Natural habitats, proportionally</t>
        </is>
      </c>
      <c r="O211" s="3" t="inlineStr">
        <is>
          <t>Many: 11-50 removals</t>
        </is>
      </c>
      <c r="P211" s="3" t="n"/>
      <c r="Q211" s="3" t="n"/>
      <c r="R211"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Prefer deepest
Decommissioning &gt; Freed area becomes: Natural habitats, proportionally
Decommissioning &gt; Min removals: 11
Decommissioning &gt; Max removals: 50
Decommissioning &gt; Fraction of each structure removed: 1.0
Live solver / Search &gt; Number of scenarios to run: 100
Search &gt; Search algorithm: Random search
Search &gt; Random seed: 1,210</t>
        </is>
      </c>
      <c r="S211" s="3" t="inlineStr">
        <is>
          <t>B210_DECOM-FL-Deepest-Full-Prop-Many.json</t>
        </is>
      </c>
      <c r="T211" s="3" t="n">
        <v>100</v>
      </c>
      <c r="U211" s="3" t="n">
        <v>1210</v>
      </c>
      <c r="V211" s="3" t="n"/>
      <c r="W211" s="3" t="n">
        <v>118</v>
      </c>
      <c r="X211" s="3">
        <f>ROUND((T211+1)*'Read me'!$C$14/60,1)</f>
        <v/>
      </c>
      <c r="Y211" s="8" t="n"/>
      <c r="Z211" s="8" t="inlineStr">
        <is>
          <t>Not started</t>
        </is>
      </c>
      <c r="AA211" s="8" t="n"/>
      <c r="AB211" s="8" t="n"/>
      <c r="AC211" s="8" t="n"/>
      <c r="AD211" s="8" t="n"/>
      <c r="AE211" s="8" t="n"/>
      <c r="AF211" s="8" t="n"/>
      <c r="AG211" s="8" t="n"/>
      <c r="AH211" s="8" t="n"/>
      <c r="AI211" s="8" t="n"/>
      <c r="AJ211" s="8">
        <f>IF(OR(AH211="",'Submission &amp; QC'!$C$18=""),"",IF(AND(ABS(AH211-'Submission &amp; QC'!$C$18)&lt;=0.0005*ABS('Submission &amp; QC'!$C$18),ABS(AI211-'Submission &amp; QC'!$C$19)&lt;=0.0005*ABS('Submission &amp; QC'!$C$19)),"Pass","Fail"))</f>
        <v/>
      </c>
      <c r="AK211" s="8" t="n"/>
      <c r="AL211" s="8" t="n"/>
    </row>
    <row r="212" ht="210" customHeight="1">
      <c r="A212" s="3" t="inlineStr">
        <is>
          <t>B211</t>
        </is>
      </c>
      <c r="B212" s="9" t="inlineStr">
        <is>
          <t>B</t>
        </is>
      </c>
      <c r="C212" s="3" t="n">
        <v>3</v>
      </c>
      <c r="D212" s="3" t="inlineStr">
        <is>
          <t>Decommission</t>
        </is>
      </c>
      <c r="E212" s="3" t="inlineStr">
        <is>
          <t>DECOM-FL-Deepest-Full-Sand-Few</t>
        </is>
      </c>
      <c r="F212" s="3" t="inlineStr">
        <is>
          <t>Decommission: few: 1-10 removals, deepest first, full removal (100%; $50,000 + $1,000/m), freed area to sand, Florida panhandle (east of the Perdido River)</t>
        </is>
      </c>
      <c r="G212" s="3" t="inlineStr">
        <is>
          <t>Florida panhandle (east of the Perdido River)</t>
        </is>
      </c>
      <c r="H212" s="3" t="n"/>
      <c r="I212" s="3" t="n"/>
      <c r="J212" s="3" t="n"/>
      <c r="K212" s="3" t="n"/>
      <c r="L212" s="3" t="inlineStr">
        <is>
          <t>Deepest</t>
        </is>
      </c>
      <c r="M212" s="3" t="inlineStr">
        <is>
          <t>Full removal (100%; $50,000 + $1,000/m)</t>
        </is>
      </c>
      <c r="N212" s="3" t="inlineStr">
        <is>
          <t>Sand</t>
        </is>
      </c>
      <c r="O212" s="3" t="inlineStr">
        <is>
          <t>Few: 1-10 removals</t>
        </is>
      </c>
      <c r="P212" s="3" t="n"/>
      <c r="Q212" s="3" t="n"/>
      <c r="R212"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Prefer deepest
Decommissioning &gt; Freed area becomes: sand
Decommissioning &gt; Min removals: 1
Decommissioning &gt; Max removals: 10
Decommissioning &gt; Fraction of each structure removed: 1.0
Live solver / Search &gt; Number of scenarios to run: 100
Search &gt; Search algorithm: Random search
Search &gt; Random seed: 1,211</t>
        </is>
      </c>
      <c r="S212" s="3" t="inlineStr">
        <is>
          <t>B211_DECOM-FL-Deepest-Full-Sand-Few.json</t>
        </is>
      </c>
      <c r="T212" s="3" t="n">
        <v>100</v>
      </c>
      <c r="U212" s="3" t="n">
        <v>1211</v>
      </c>
      <c r="V212" s="3" t="n"/>
      <c r="W212" s="3" t="n">
        <v>118</v>
      </c>
      <c r="X212" s="3">
        <f>ROUND((T212+1)*'Read me'!$C$14/60,1)</f>
        <v/>
      </c>
      <c r="Y212" s="8" t="n"/>
      <c r="Z212" s="8" t="inlineStr">
        <is>
          <t>Not started</t>
        </is>
      </c>
      <c r="AA212" s="8" t="n"/>
      <c r="AB212" s="8" t="n"/>
      <c r="AC212" s="8" t="n"/>
      <c r="AD212" s="8" t="n"/>
      <c r="AE212" s="8" t="n"/>
      <c r="AF212" s="8" t="n"/>
      <c r="AG212" s="8" t="n"/>
      <c r="AH212" s="8" t="n"/>
      <c r="AI212" s="8" t="n"/>
      <c r="AJ212" s="8">
        <f>IF(OR(AH212="",'Submission &amp; QC'!$C$18=""),"",IF(AND(ABS(AH212-'Submission &amp; QC'!$C$18)&lt;=0.0005*ABS('Submission &amp; QC'!$C$18),ABS(AI212-'Submission &amp; QC'!$C$19)&lt;=0.0005*ABS('Submission &amp; QC'!$C$19)),"Pass","Fail"))</f>
        <v/>
      </c>
      <c r="AK212" s="8" t="n"/>
      <c r="AL212" s="8" t="n"/>
    </row>
    <row r="213" ht="210" customHeight="1">
      <c r="A213" s="3" t="inlineStr">
        <is>
          <t>B212</t>
        </is>
      </c>
      <c r="B213" s="9" t="inlineStr">
        <is>
          <t>B</t>
        </is>
      </c>
      <c r="C213" s="3" t="n">
        <v>3</v>
      </c>
      <c r="D213" s="3" t="inlineStr">
        <is>
          <t>Decommission</t>
        </is>
      </c>
      <c r="E213" s="3" t="inlineStr">
        <is>
          <t>DECOM-FL-Deepest-Full-Sand-Many</t>
        </is>
      </c>
      <c r="F213" s="3" t="inlineStr">
        <is>
          <t>Decommission: many: 11-50 removals, deepest first, full removal (100%; $50,000 + $1,000/m), freed area to sand, Florida panhandle (east of the Perdido River)</t>
        </is>
      </c>
      <c r="G213" s="3" t="inlineStr">
        <is>
          <t>Florida panhandle (east of the Perdido River)</t>
        </is>
      </c>
      <c r="H213" s="3" t="n"/>
      <c r="I213" s="3" t="n"/>
      <c r="J213" s="3" t="n"/>
      <c r="K213" s="3" t="n"/>
      <c r="L213" s="3" t="inlineStr">
        <is>
          <t>Deepest</t>
        </is>
      </c>
      <c r="M213" s="3" t="inlineStr">
        <is>
          <t>Full removal (100%; $50,000 + $1,000/m)</t>
        </is>
      </c>
      <c r="N213" s="3" t="inlineStr">
        <is>
          <t>Sand</t>
        </is>
      </c>
      <c r="O213" s="3" t="inlineStr">
        <is>
          <t>Many: 11-50 removals</t>
        </is>
      </c>
      <c r="P213" s="3" t="n"/>
      <c r="Q213" s="3" t="n"/>
      <c r="R213" s="3" t="inlineStr">
        <is>
          <t>Strategy &gt; Strategy: Decommission existing structures
Decommissioning &gt; Removal budget (USD): 10,000,000
Decommissioning &gt; Cost: Depth-based
Decommissioning &gt; Fixed cost per removal (USD, added): 50,000
Decommissioning &gt; USD per metre depth: 1,000
Decommissioning &gt; West lon: -87.51
Decommissioning &gt; Selection preference: Prefer deepest
Decommissioning &gt; Freed area becomes: sand
Decommissioning &gt; Min removals: 11
Decommissioning &gt; Max removals: 50
Decommissioning &gt; Fraction of each structure removed: 1.0
Live solver / Search &gt; Number of scenarios to run: 100
Search &gt; Search algorithm: Random search
Search &gt; Random seed: 1,212</t>
        </is>
      </c>
      <c r="S213" s="3" t="inlineStr">
        <is>
          <t>B212_DECOM-FL-Deepest-Full-Sand-Many.json</t>
        </is>
      </c>
      <c r="T213" s="3" t="n">
        <v>100</v>
      </c>
      <c r="U213" s="3" t="n">
        <v>1212</v>
      </c>
      <c r="V213" s="3" t="n"/>
      <c r="W213" s="3" t="n">
        <v>118</v>
      </c>
      <c r="X213" s="3">
        <f>ROUND((T213+1)*'Read me'!$C$14/60,1)</f>
        <v/>
      </c>
      <c r="Y213" s="8" t="n"/>
      <c r="Z213" s="8" t="inlineStr">
        <is>
          <t>Not started</t>
        </is>
      </c>
      <c r="AA213" s="8" t="n"/>
      <c r="AB213" s="8" t="n"/>
      <c r="AC213" s="8" t="n"/>
      <c r="AD213" s="8" t="n"/>
      <c r="AE213" s="8" t="n"/>
      <c r="AF213" s="8" t="n"/>
      <c r="AG213" s="8" t="n"/>
      <c r="AH213" s="8" t="n"/>
      <c r="AI213" s="8" t="n"/>
      <c r="AJ213" s="8">
        <f>IF(OR(AH213="",'Submission &amp; QC'!$C$18=""),"",IF(AND(ABS(AH213-'Submission &amp; QC'!$C$18)&lt;=0.0005*ABS('Submission &amp; QC'!$C$18),ABS(AI213-'Submission &amp; QC'!$C$19)&lt;=0.0005*ABS('Submission &amp; QC'!$C$19)),"Pass","Fail"))</f>
        <v/>
      </c>
      <c r="AK213" s="8" t="n"/>
      <c r="AL213" s="8" t="n"/>
    </row>
    <row r="214" ht="210" customHeight="1">
      <c r="A214" s="3" t="inlineStr">
        <is>
          <t>B213</t>
        </is>
      </c>
      <c r="B214" s="9" t="inlineStr">
        <is>
          <t>B</t>
        </is>
      </c>
      <c r="C214" s="3" t="n">
        <v>3</v>
      </c>
      <c r="D214" s="3" t="inlineStr">
        <is>
          <t>Decommission</t>
        </is>
      </c>
      <c r="E214" s="3" t="inlineStr">
        <is>
          <t>DECOM-FL-Deepest-Partial-Prop-Few</t>
        </is>
      </c>
      <c r="F214" s="3" t="inlineStr">
        <is>
          <t>Decommission: few: 1-10 removals, deepest first, partial removal / toppling (50%; $30,000 + $600/m), freed area to natural habitats, proportionally, Florida panhandle (east of the Perdido River)</t>
        </is>
      </c>
      <c r="G214" s="3" t="inlineStr">
        <is>
          <t>Florida panhandle (east of the Perdido River)</t>
        </is>
      </c>
      <c r="H214" s="3" t="n"/>
      <c r="I214" s="3" t="n"/>
      <c r="J214" s="3" t="n"/>
      <c r="K214" s="3" t="n"/>
      <c r="L214" s="3" t="inlineStr">
        <is>
          <t>Deepest</t>
        </is>
      </c>
      <c r="M214" s="3" t="inlineStr">
        <is>
          <t>Partial removal / toppling (50%; $30,000 + $600/m)</t>
        </is>
      </c>
      <c r="N214" s="3" t="inlineStr">
        <is>
          <t>Natural habitats, proportionally</t>
        </is>
      </c>
      <c r="O214" s="3" t="inlineStr">
        <is>
          <t>Few: 1-10 removals</t>
        </is>
      </c>
      <c r="P214" s="3" t="n"/>
      <c r="Q214" s="3" t="n"/>
      <c r="R214"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Prefer deepest
Decommissioning &gt; Freed area becomes: Natural habitats, proportionally
Decommissioning &gt; Min removals: 1
Decommissioning &gt; Max removals: 10
Decommissioning &gt; Fraction of each structure removed: 0.5
Live solver / Search &gt; Number of scenarios to run: 100
Search &gt; Search algorithm: Random search
Search &gt; Random seed: 1,213</t>
        </is>
      </c>
      <c r="S214" s="3" t="inlineStr">
        <is>
          <t>B213_DECOM-FL-Deepest-Partial-Prop-Few.json</t>
        </is>
      </c>
      <c r="T214" s="3" t="n">
        <v>100</v>
      </c>
      <c r="U214" s="3" t="n">
        <v>1213</v>
      </c>
      <c r="V214" s="3" t="n"/>
      <c r="W214" s="3" t="n">
        <v>118</v>
      </c>
      <c r="X214" s="3">
        <f>ROUND((T214+1)*'Read me'!$C$14/60,1)</f>
        <v/>
      </c>
      <c r="Y214" s="8" t="n"/>
      <c r="Z214" s="8" t="inlineStr">
        <is>
          <t>Not started</t>
        </is>
      </c>
      <c r="AA214" s="8" t="n"/>
      <c r="AB214" s="8" t="n"/>
      <c r="AC214" s="8" t="n"/>
      <c r="AD214" s="8" t="n"/>
      <c r="AE214" s="8" t="n"/>
      <c r="AF214" s="8" t="n"/>
      <c r="AG214" s="8" t="n"/>
      <c r="AH214" s="8" t="n"/>
      <c r="AI214" s="8" t="n"/>
      <c r="AJ214" s="8">
        <f>IF(OR(AH214="",'Submission &amp; QC'!$C$18=""),"",IF(AND(ABS(AH214-'Submission &amp; QC'!$C$18)&lt;=0.0005*ABS('Submission &amp; QC'!$C$18),ABS(AI214-'Submission &amp; QC'!$C$19)&lt;=0.0005*ABS('Submission &amp; QC'!$C$19)),"Pass","Fail"))</f>
        <v/>
      </c>
      <c r="AK214" s="8" t="n"/>
      <c r="AL214" s="8" t="n"/>
    </row>
    <row r="215" ht="210" customHeight="1">
      <c r="A215" s="3" t="inlineStr">
        <is>
          <t>B214</t>
        </is>
      </c>
      <c r="B215" s="9" t="inlineStr">
        <is>
          <t>B</t>
        </is>
      </c>
      <c r="C215" s="3" t="n">
        <v>3</v>
      </c>
      <c r="D215" s="3" t="inlineStr">
        <is>
          <t>Decommission</t>
        </is>
      </c>
      <c r="E215" s="3" t="inlineStr">
        <is>
          <t>DECOM-FL-Deepest-Partial-Prop-Many</t>
        </is>
      </c>
      <c r="F215" s="3" t="inlineStr">
        <is>
          <t>Decommission: many: 11-50 removals, deepest first, partial removal / toppling (50%; $30,000 + $600/m), freed area to natural habitats, proportionally, Florida panhandle (east of the Perdido River)</t>
        </is>
      </c>
      <c r="G215" s="3" t="inlineStr">
        <is>
          <t>Florida panhandle (east of the Perdido River)</t>
        </is>
      </c>
      <c r="H215" s="3" t="n"/>
      <c r="I215" s="3" t="n"/>
      <c r="J215" s="3" t="n"/>
      <c r="K215" s="3" t="n"/>
      <c r="L215" s="3" t="inlineStr">
        <is>
          <t>Deepest</t>
        </is>
      </c>
      <c r="M215" s="3" t="inlineStr">
        <is>
          <t>Partial removal / toppling (50%; $30,000 + $600/m)</t>
        </is>
      </c>
      <c r="N215" s="3" t="inlineStr">
        <is>
          <t>Natural habitats, proportionally</t>
        </is>
      </c>
      <c r="O215" s="3" t="inlineStr">
        <is>
          <t>Many: 11-50 removals</t>
        </is>
      </c>
      <c r="P215" s="3" t="n"/>
      <c r="Q215" s="3" t="n"/>
      <c r="R215"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Prefer deepest
Decommissioning &gt; Freed area becomes: Natural habitats, proportionally
Decommissioning &gt; Min removals: 11
Decommissioning &gt; Max removals: 50
Decommissioning &gt; Fraction of each structure removed: 0.5
Live solver / Search &gt; Number of scenarios to run: 100
Search &gt; Search algorithm: Random search
Search &gt; Random seed: 1,214</t>
        </is>
      </c>
      <c r="S215" s="3" t="inlineStr">
        <is>
          <t>B214_DECOM-FL-Deepest-Partial-Prop-Many.json</t>
        </is>
      </c>
      <c r="T215" s="3" t="n">
        <v>100</v>
      </c>
      <c r="U215" s="3" t="n">
        <v>1214</v>
      </c>
      <c r="V215" s="3" t="n"/>
      <c r="W215" s="3" t="n">
        <v>118</v>
      </c>
      <c r="X215" s="3">
        <f>ROUND((T215+1)*'Read me'!$C$14/60,1)</f>
        <v/>
      </c>
      <c r="Y215" s="8" t="n"/>
      <c r="Z215" s="8" t="inlineStr">
        <is>
          <t>Not started</t>
        </is>
      </c>
      <c r="AA215" s="8" t="n"/>
      <c r="AB215" s="8" t="n"/>
      <c r="AC215" s="8" t="n"/>
      <c r="AD215" s="8" t="n"/>
      <c r="AE215" s="8" t="n"/>
      <c r="AF215" s="8" t="n"/>
      <c r="AG215" s="8" t="n"/>
      <c r="AH215" s="8" t="n"/>
      <c r="AI215" s="8" t="n"/>
      <c r="AJ215" s="8">
        <f>IF(OR(AH215="",'Submission &amp; QC'!$C$18=""),"",IF(AND(ABS(AH215-'Submission &amp; QC'!$C$18)&lt;=0.0005*ABS('Submission &amp; QC'!$C$18),ABS(AI215-'Submission &amp; QC'!$C$19)&lt;=0.0005*ABS('Submission &amp; QC'!$C$19)),"Pass","Fail"))</f>
        <v/>
      </c>
      <c r="AK215" s="8" t="n"/>
      <c r="AL215" s="8" t="n"/>
    </row>
    <row r="216" ht="210" customHeight="1">
      <c r="A216" s="3" t="inlineStr">
        <is>
          <t>B215</t>
        </is>
      </c>
      <c r="B216" s="9" t="inlineStr">
        <is>
          <t>B</t>
        </is>
      </c>
      <c r="C216" s="3" t="n">
        <v>3</v>
      </c>
      <c r="D216" s="3" t="inlineStr">
        <is>
          <t>Decommission</t>
        </is>
      </c>
      <c r="E216" s="3" t="inlineStr">
        <is>
          <t>DECOM-FL-Deepest-Partial-Sand-Few</t>
        </is>
      </c>
      <c r="F216" s="3" t="inlineStr">
        <is>
          <t>Decommission: few: 1-10 removals, deepest first, partial removal / toppling (50%; $30,000 + $600/m), freed area to sand, Florida panhandle (east of the Perdido River)</t>
        </is>
      </c>
      <c r="G216" s="3" t="inlineStr">
        <is>
          <t>Florida panhandle (east of the Perdido River)</t>
        </is>
      </c>
      <c r="H216" s="3" t="n"/>
      <c r="I216" s="3" t="n"/>
      <c r="J216" s="3" t="n"/>
      <c r="K216" s="3" t="n"/>
      <c r="L216" s="3" t="inlineStr">
        <is>
          <t>Deepest</t>
        </is>
      </c>
      <c r="M216" s="3" t="inlineStr">
        <is>
          <t>Partial removal / toppling (50%; $30,000 + $600/m)</t>
        </is>
      </c>
      <c r="N216" s="3" t="inlineStr">
        <is>
          <t>Sand</t>
        </is>
      </c>
      <c r="O216" s="3" t="inlineStr">
        <is>
          <t>Few: 1-10 removals</t>
        </is>
      </c>
      <c r="P216" s="3" t="n"/>
      <c r="Q216" s="3" t="n"/>
      <c r="R216"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Prefer deepest
Decommissioning &gt; Freed area becomes: sand
Decommissioning &gt; Min removals: 1
Decommissioning &gt; Max removals: 10
Decommissioning &gt; Fraction of each structure removed: 0.5
Live solver / Search &gt; Number of scenarios to run: 100
Search &gt; Search algorithm: Random search
Search &gt; Random seed: 1,215</t>
        </is>
      </c>
      <c r="S216" s="3" t="inlineStr">
        <is>
          <t>B215_DECOM-FL-Deepest-Partial-Sand-Few.json</t>
        </is>
      </c>
      <c r="T216" s="3" t="n">
        <v>100</v>
      </c>
      <c r="U216" s="3" t="n">
        <v>1215</v>
      </c>
      <c r="V216" s="3" t="n"/>
      <c r="W216" s="3" t="n">
        <v>118</v>
      </c>
      <c r="X216" s="3">
        <f>ROUND((T216+1)*'Read me'!$C$14/60,1)</f>
        <v/>
      </c>
      <c r="Y216" s="8" t="n"/>
      <c r="Z216" s="8" t="inlineStr">
        <is>
          <t>Not started</t>
        </is>
      </c>
      <c r="AA216" s="8" t="n"/>
      <c r="AB216" s="8" t="n"/>
      <c r="AC216" s="8" t="n"/>
      <c r="AD216" s="8" t="n"/>
      <c r="AE216" s="8" t="n"/>
      <c r="AF216" s="8" t="n"/>
      <c r="AG216" s="8" t="n"/>
      <c r="AH216" s="8" t="n"/>
      <c r="AI216" s="8" t="n"/>
      <c r="AJ216" s="8">
        <f>IF(OR(AH216="",'Submission &amp; QC'!$C$18=""),"",IF(AND(ABS(AH216-'Submission &amp; QC'!$C$18)&lt;=0.0005*ABS('Submission &amp; QC'!$C$18),ABS(AI216-'Submission &amp; QC'!$C$19)&lt;=0.0005*ABS('Submission &amp; QC'!$C$19)),"Pass","Fail"))</f>
        <v/>
      </c>
      <c r="AK216" s="8" t="n"/>
      <c r="AL216" s="8" t="n"/>
    </row>
    <row r="217" ht="210" customHeight="1">
      <c r="A217" s="3" t="inlineStr">
        <is>
          <t>B216</t>
        </is>
      </c>
      <c r="B217" s="9" t="inlineStr">
        <is>
          <t>B</t>
        </is>
      </c>
      <c r="C217" s="3" t="n">
        <v>3</v>
      </c>
      <c r="D217" s="3" t="inlineStr">
        <is>
          <t>Decommission</t>
        </is>
      </c>
      <c r="E217" s="3" t="inlineStr">
        <is>
          <t>DECOM-FL-Deepest-Partial-Sand-Many</t>
        </is>
      </c>
      <c r="F217" s="3" t="inlineStr">
        <is>
          <t>Decommission: many: 11-50 removals, deepest first, partial removal / toppling (50%; $30,000 + $600/m), freed area to sand, Florida panhandle (east of the Perdido River)</t>
        </is>
      </c>
      <c r="G217" s="3" t="inlineStr">
        <is>
          <t>Florida panhandle (east of the Perdido River)</t>
        </is>
      </c>
      <c r="H217" s="3" t="n"/>
      <c r="I217" s="3" t="n"/>
      <c r="J217" s="3" t="n"/>
      <c r="K217" s="3" t="n"/>
      <c r="L217" s="3" t="inlineStr">
        <is>
          <t>Deepest</t>
        </is>
      </c>
      <c r="M217" s="3" t="inlineStr">
        <is>
          <t>Partial removal / toppling (50%; $30,000 + $600/m)</t>
        </is>
      </c>
      <c r="N217" s="3" t="inlineStr">
        <is>
          <t>Sand</t>
        </is>
      </c>
      <c r="O217" s="3" t="inlineStr">
        <is>
          <t>Many: 11-50 removals</t>
        </is>
      </c>
      <c r="P217" s="3" t="n"/>
      <c r="Q217" s="3" t="n"/>
      <c r="R217" s="3" t="inlineStr">
        <is>
          <t>Strategy &gt; Strategy: Decommission existing structures
Decommissioning &gt; Removal budget (USD): 10,000,000
Decommissioning &gt; Cost: Depth-based
Decommissioning &gt; Fixed cost per removal (USD, added): 30,000
Decommissioning &gt; USD per metre depth: 600
Decommissioning &gt; West lon: -87.51
Decommissioning &gt; Selection preference: Prefer deepest
Decommissioning &gt; Freed area becomes: sand
Decommissioning &gt; Min removals: 11
Decommissioning &gt; Max removals: 50
Decommissioning &gt; Fraction of each structure removed: 0.5
Live solver / Search &gt; Number of scenarios to run: 100
Search &gt; Search algorithm: Random search
Search &gt; Random seed: 1,216</t>
        </is>
      </c>
      <c r="S217" s="3" t="inlineStr">
        <is>
          <t>B216_DECOM-FL-Deepest-Partial-Sand-Many.json</t>
        </is>
      </c>
      <c r="T217" s="3" t="n">
        <v>100</v>
      </c>
      <c r="U217" s="3" t="n">
        <v>1216</v>
      </c>
      <c r="V217" s="3" t="n"/>
      <c r="W217" s="3" t="n">
        <v>118</v>
      </c>
      <c r="X217" s="3">
        <f>ROUND((T217+1)*'Read me'!$C$14/60,1)</f>
        <v/>
      </c>
      <c r="Y217" s="8" t="n"/>
      <c r="Z217" s="8" t="inlineStr">
        <is>
          <t>Not started</t>
        </is>
      </c>
      <c r="AA217" s="8" t="n"/>
      <c r="AB217" s="8" t="n"/>
      <c r="AC217" s="8" t="n"/>
      <c r="AD217" s="8" t="n"/>
      <c r="AE217" s="8" t="n"/>
      <c r="AF217" s="8" t="n"/>
      <c r="AG217" s="8" t="n"/>
      <c r="AH217" s="8" t="n"/>
      <c r="AI217" s="8" t="n"/>
      <c r="AJ217" s="8">
        <f>IF(OR(AH217="",'Submission &amp; QC'!$C$18=""),"",IF(AND(ABS(AH217-'Submission &amp; QC'!$C$18)&lt;=0.0005*ABS('Submission &amp; QC'!$C$18),ABS(AI217-'Submission &amp; QC'!$C$19)&lt;=0.0005*ABS('Submission &amp; QC'!$C$19)),"Pass","Fail"))</f>
        <v/>
      </c>
      <c r="AK217" s="8" t="n"/>
      <c r="AL217" s="8" t="n"/>
    </row>
    <row r="218" ht="225" customHeight="1">
      <c r="A218" s="3" t="inlineStr">
        <is>
          <t>C217</t>
        </is>
      </c>
      <c r="B218" s="10" t="inlineStr">
        <is>
          <t>C</t>
        </is>
      </c>
      <c r="C218" s="3" t="n">
        <v>1</v>
      </c>
      <c r="D218" s="3" t="inlineStr">
        <is>
          <t>Mixed</t>
        </is>
      </c>
      <c r="E218" s="3" t="inlineStr">
        <is>
          <t>MIX-Region-Separate-Small-Full</t>
        </is>
      </c>
      <c r="F218" s="3" t="inlineStr">
        <is>
          <t>Mixed: install and remove (separate budgets), small install budget ($0.1-1 M), full removal (100%; $50,000 + $1,000/m), Whole model area</t>
        </is>
      </c>
      <c r="G218" s="3" t="inlineStr">
        <is>
          <t>Whole model area</t>
        </is>
      </c>
      <c r="H218" s="3" t="n"/>
      <c r="I218" s="3" t="n"/>
      <c r="J218" s="3" t="n"/>
      <c r="K218" s="3" t="inlineStr">
        <is>
          <t>Small: $0.1-1 M</t>
        </is>
      </c>
      <c r="L218" s="3" t="n"/>
      <c r="M218" s="3" t="inlineStr">
        <is>
          <t>Full removal (100%; $50,000 + $1,000/m)</t>
        </is>
      </c>
      <c r="N218" s="3" t="n"/>
      <c r="O218" s="3" t="n"/>
      <c r="P218" s="3" t="inlineStr">
        <is>
          <t>No</t>
        </is>
      </c>
      <c r="Q218" s="3" t="n"/>
      <c r="R218" s="3" t="inlineStr">
        <is>
          <t>Strategy &gt; Strategy: Mixed: decommission and install
Strategy &gt; Shared budget: unticked
Installation &gt; Maximum budget per scenario (USD): 1,000,000
Installation &gt; Minimum budget per scenario (USD): 100,000
Installation &gt; How budgets are drawn: Uniform
Decommissioning &gt; Removal budget (USD): 5,000,000
Decommissioning &gt; Cost: Depth-based
Decommissioning &gt; Fixed cost per removal (USD, added): 50,000
Decommissioning &gt; USD per metre depth: 1,000
Decommissioning &gt; Min removals: 1
Decommissioning &gt; Max removals: 25
Decommissioning &gt; Fraction of each structure removed: 1.0
Live solver / Search &gt; Number of scenarios to run: 100
Search &gt; Search algorithm: Random search
Search &gt; Random seed: 1,217</t>
        </is>
      </c>
      <c r="S218" s="3" t="inlineStr">
        <is>
          <t>C217_MIX-Region-Separate-Small-Full.json</t>
        </is>
      </c>
      <c r="T218" s="3" t="n">
        <v>100</v>
      </c>
      <c r="U218" s="3" t="n">
        <v>1217</v>
      </c>
      <c r="V218" s="3" t="n">
        <v>988</v>
      </c>
      <c r="W218" s="3" t="n">
        <v>314</v>
      </c>
      <c r="X218" s="3">
        <f>ROUND((T218+1)*'Read me'!$C$14/60,1)</f>
        <v/>
      </c>
      <c r="Y218" s="8" t="n"/>
      <c r="Z218" s="8" t="inlineStr">
        <is>
          <t>Not started</t>
        </is>
      </c>
      <c r="AA218" s="8" t="n"/>
      <c r="AB218" s="8" t="n"/>
      <c r="AC218" s="8" t="n"/>
      <c r="AD218" s="8" t="n"/>
      <c r="AE218" s="8" t="n"/>
      <c r="AF218" s="8" t="n"/>
      <c r="AG218" s="8" t="n"/>
      <c r="AH218" s="8" t="n"/>
      <c r="AI218" s="8" t="n"/>
      <c r="AJ218" s="8">
        <f>IF(OR(AH218="",'Submission &amp; QC'!$C$18=""),"",IF(AND(ABS(AH218-'Submission &amp; QC'!$C$18)&lt;=0.0005*ABS('Submission &amp; QC'!$C$18),ABS(AI218-'Submission &amp; QC'!$C$19)&lt;=0.0005*ABS('Submission &amp; QC'!$C$19)),"Pass","Fail"))</f>
        <v/>
      </c>
      <c r="AK218" s="8" t="n"/>
      <c r="AL218" s="8" t="n"/>
    </row>
    <row r="219" ht="225" customHeight="1">
      <c r="A219" s="3" t="inlineStr">
        <is>
          <t>C218</t>
        </is>
      </c>
      <c r="B219" s="10" t="inlineStr">
        <is>
          <t>C</t>
        </is>
      </c>
      <c r="C219" s="3" t="n">
        <v>2</v>
      </c>
      <c r="D219" s="3" t="inlineStr">
        <is>
          <t>Mixed</t>
        </is>
      </c>
      <c r="E219" s="3" t="inlineStr">
        <is>
          <t>MIX-Region-Separate-Small-Partial</t>
        </is>
      </c>
      <c r="F219" s="3" t="inlineStr">
        <is>
          <t>Mixed: install and remove (separate budgets), small install budget ($0.1-1 M), partial removal / toppling (50%; $30,000 + $600/m), Whole model area</t>
        </is>
      </c>
      <c r="G219" s="3" t="inlineStr">
        <is>
          <t>Whole model area</t>
        </is>
      </c>
      <c r="H219" s="3" t="n"/>
      <c r="I219" s="3" t="n"/>
      <c r="J219" s="3" t="n"/>
      <c r="K219" s="3" t="inlineStr">
        <is>
          <t>Small: $0.1-1 M</t>
        </is>
      </c>
      <c r="L219" s="3" t="n"/>
      <c r="M219" s="3" t="inlineStr">
        <is>
          <t>Partial removal / toppling (50%; $30,000 + $600/m)</t>
        </is>
      </c>
      <c r="N219" s="3" t="n"/>
      <c r="O219" s="3" t="n"/>
      <c r="P219" s="3" t="inlineStr">
        <is>
          <t>No</t>
        </is>
      </c>
      <c r="Q219" s="3" t="n"/>
      <c r="R219" s="3" t="inlineStr">
        <is>
          <t>Strategy &gt; Strategy: Mixed: decommission and install
Strategy &gt; Shared budget: unticked
Installation &gt; Maximum budget per scenario (USD): 1,000,000
Installation &gt; Minimum budget per scenario (USD): 100,000
Installation &gt; How budgets are drawn: Uniform
Decommissioning &gt; Removal budget (USD): 5,000,000
Decommissioning &gt; Cost: Depth-based
Decommissioning &gt; Fixed cost per removal (USD, added): 30,000
Decommissioning &gt; USD per metre depth: 600
Decommissioning &gt; Min removals: 1
Decommissioning &gt; Max removals: 25
Decommissioning &gt; Fraction of each structure removed: 0.5
Live solver / Search &gt; Number of scenarios to run: 100
Search &gt; Search algorithm: Random search
Search &gt; Random seed: 1,218</t>
        </is>
      </c>
      <c r="S219" s="3" t="inlineStr">
        <is>
          <t>C218_MIX-Region-Separate-Small-Partial.json</t>
        </is>
      </c>
      <c r="T219" s="3" t="n">
        <v>100</v>
      </c>
      <c r="U219" s="3" t="n">
        <v>1218</v>
      </c>
      <c r="V219" s="3" t="n">
        <v>988</v>
      </c>
      <c r="W219" s="3" t="n">
        <v>314</v>
      </c>
      <c r="X219" s="3">
        <f>ROUND((T219+1)*'Read me'!$C$14/60,1)</f>
        <v/>
      </c>
      <c r="Y219" s="8" t="n"/>
      <c r="Z219" s="8" t="inlineStr">
        <is>
          <t>Not started</t>
        </is>
      </c>
      <c r="AA219" s="8" t="n"/>
      <c r="AB219" s="8" t="n"/>
      <c r="AC219" s="8" t="n"/>
      <c r="AD219" s="8" t="n"/>
      <c r="AE219" s="8" t="n"/>
      <c r="AF219" s="8" t="n"/>
      <c r="AG219" s="8" t="n"/>
      <c r="AH219" s="8" t="n"/>
      <c r="AI219" s="8" t="n"/>
      <c r="AJ219" s="8">
        <f>IF(OR(AH219="",'Submission &amp; QC'!$C$18=""),"",IF(AND(ABS(AH219-'Submission &amp; QC'!$C$18)&lt;=0.0005*ABS('Submission &amp; QC'!$C$18),ABS(AI219-'Submission &amp; QC'!$C$19)&lt;=0.0005*ABS('Submission &amp; QC'!$C$19)),"Pass","Fail"))</f>
        <v/>
      </c>
      <c r="AK219" s="8" t="n"/>
      <c r="AL219" s="8" t="n"/>
    </row>
    <row r="220" ht="225" customHeight="1">
      <c r="A220" s="3" t="inlineStr">
        <is>
          <t>C219</t>
        </is>
      </c>
      <c r="B220" s="10" t="inlineStr">
        <is>
          <t>C</t>
        </is>
      </c>
      <c r="C220" s="3" t="n">
        <v>1</v>
      </c>
      <c r="D220" s="3" t="inlineStr">
        <is>
          <t>Mixed</t>
        </is>
      </c>
      <c r="E220" s="3" t="inlineStr">
        <is>
          <t>MIX-Region-Separate-Medium-Full</t>
        </is>
      </c>
      <c r="F220" s="3" t="inlineStr">
        <is>
          <t>Mixed: install and remove (separate budgets), medium install budget ($1-5 M), full removal (100%; $50,000 + $1,000/m), Whole model area</t>
        </is>
      </c>
      <c r="G220" s="3" t="inlineStr">
        <is>
          <t>Whole model area</t>
        </is>
      </c>
      <c r="H220" s="3" t="n"/>
      <c r="I220" s="3" t="n"/>
      <c r="J220" s="3" t="n"/>
      <c r="K220" s="3" t="inlineStr">
        <is>
          <t>Medium: $1-5 M</t>
        </is>
      </c>
      <c r="L220" s="3" t="n"/>
      <c r="M220" s="3" t="inlineStr">
        <is>
          <t>Full removal (100%; $50,000 + $1,000/m)</t>
        </is>
      </c>
      <c r="N220" s="3" t="n"/>
      <c r="O220" s="3" t="n"/>
      <c r="P220" s="3" t="inlineStr">
        <is>
          <t>No</t>
        </is>
      </c>
      <c r="Q220" s="3" t="n"/>
      <c r="R220" s="3" t="inlineStr">
        <is>
          <t>Strategy &gt; Strategy: Mixed: decommission and install
Strategy &gt; Shared budget: unticked
Installation &gt; Maximum budget per scenario (USD): 5,000,000
Installation &gt; Minimum budget per scenario (USD): 1,000,000
Installation &gt; How budgets are drawn: Uniform
Decommissioning &gt; Removal budget (USD): 5,000,000
Decommissioning &gt; Cost: Depth-based
Decommissioning &gt; Fixed cost per removal (USD, added): 50,000
Decommissioning &gt; USD per metre depth: 1,000
Decommissioning &gt; Min removals: 1
Decommissioning &gt; Max removals: 25
Decommissioning &gt; Fraction of each structure removed: 1.0
Live solver / Search &gt; Number of scenarios to run: 100
Search &gt; Search algorithm: Random search
Search &gt; Random seed: 1,219</t>
        </is>
      </c>
      <c r="S220" s="3" t="inlineStr">
        <is>
          <t>C219_MIX-Region-Separate-Medium-Full.json</t>
        </is>
      </c>
      <c r="T220" s="3" t="n">
        <v>100</v>
      </c>
      <c r="U220" s="3" t="n">
        <v>1219</v>
      </c>
      <c r="V220" s="3" t="n">
        <v>988</v>
      </c>
      <c r="W220" s="3" t="n">
        <v>314</v>
      </c>
      <c r="X220" s="3">
        <f>ROUND((T220+1)*'Read me'!$C$14/60,1)</f>
        <v/>
      </c>
      <c r="Y220" s="8" t="n"/>
      <c r="Z220" s="8" t="inlineStr">
        <is>
          <t>Not started</t>
        </is>
      </c>
      <c r="AA220" s="8" t="n"/>
      <c r="AB220" s="8" t="n"/>
      <c r="AC220" s="8" t="n"/>
      <c r="AD220" s="8" t="n"/>
      <c r="AE220" s="8" t="n"/>
      <c r="AF220" s="8" t="n"/>
      <c r="AG220" s="8" t="n"/>
      <c r="AH220" s="8" t="n"/>
      <c r="AI220" s="8" t="n"/>
      <c r="AJ220" s="8">
        <f>IF(OR(AH220="",'Submission &amp; QC'!$C$18=""),"",IF(AND(ABS(AH220-'Submission &amp; QC'!$C$18)&lt;=0.0005*ABS('Submission &amp; QC'!$C$18),ABS(AI220-'Submission &amp; QC'!$C$19)&lt;=0.0005*ABS('Submission &amp; QC'!$C$19)),"Pass","Fail"))</f>
        <v/>
      </c>
      <c r="AK220" s="8" t="n"/>
      <c r="AL220" s="8" t="n"/>
    </row>
    <row r="221" ht="225" customHeight="1">
      <c r="A221" s="3" t="inlineStr">
        <is>
          <t>C220</t>
        </is>
      </c>
      <c r="B221" s="10" t="inlineStr">
        <is>
          <t>C</t>
        </is>
      </c>
      <c r="C221" s="3" t="n">
        <v>2</v>
      </c>
      <c r="D221" s="3" t="inlineStr">
        <is>
          <t>Mixed</t>
        </is>
      </c>
      <c r="E221" s="3" t="inlineStr">
        <is>
          <t>MIX-Region-Separate-Medium-Partial</t>
        </is>
      </c>
      <c r="F221" s="3" t="inlineStr">
        <is>
          <t>Mixed: install and remove (separate budgets), medium install budget ($1-5 M), partial removal / toppling (50%; $30,000 + $600/m), Whole model area</t>
        </is>
      </c>
      <c r="G221" s="3" t="inlineStr">
        <is>
          <t>Whole model area</t>
        </is>
      </c>
      <c r="H221" s="3" t="n"/>
      <c r="I221" s="3" t="n"/>
      <c r="J221" s="3" t="n"/>
      <c r="K221" s="3" t="inlineStr">
        <is>
          <t>Medium: $1-5 M</t>
        </is>
      </c>
      <c r="L221" s="3" t="n"/>
      <c r="M221" s="3" t="inlineStr">
        <is>
          <t>Partial removal / toppling (50%; $30,000 + $600/m)</t>
        </is>
      </c>
      <c r="N221" s="3" t="n"/>
      <c r="O221" s="3" t="n"/>
      <c r="P221" s="3" t="inlineStr">
        <is>
          <t>No</t>
        </is>
      </c>
      <c r="Q221" s="3" t="n"/>
      <c r="R221" s="3" t="inlineStr">
        <is>
          <t>Strategy &gt; Strategy: Mixed: decommission and install
Strategy &gt; Shared budget: unticked
Installation &gt; Maximum budget per scenario (USD): 5,000,000
Installation &gt; Minimum budget per scenario (USD): 1,000,000
Installation &gt; How budgets are drawn: Uniform
Decommissioning &gt; Removal budget (USD): 5,000,000
Decommissioning &gt; Cost: Depth-based
Decommissioning &gt; Fixed cost per removal (USD, added): 30,000
Decommissioning &gt; USD per metre depth: 600
Decommissioning &gt; Min removals: 1
Decommissioning &gt; Max removals: 25
Decommissioning &gt; Fraction of each structure removed: 0.5
Live solver / Search &gt; Number of scenarios to run: 100
Search &gt; Search algorithm: Random search
Search &gt; Random seed: 1,220</t>
        </is>
      </c>
      <c r="S221" s="3" t="inlineStr">
        <is>
          <t>C220_MIX-Region-Separate-Medium-Partial.json</t>
        </is>
      </c>
      <c r="T221" s="3" t="n">
        <v>100</v>
      </c>
      <c r="U221" s="3" t="n">
        <v>1220</v>
      </c>
      <c r="V221" s="3" t="n">
        <v>988</v>
      </c>
      <c r="W221" s="3" t="n">
        <v>314</v>
      </c>
      <c r="X221" s="3">
        <f>ROUND((T221+1)*'Read me'!$C$14/60,1)</f>
        <v/>
      </c>
      <c r="Y221" s="8" t="n"/>
      <c r="Z221" s="8" t="inlineStr">
        <is>
          <t>Not started</t>
        </is>
      </c>
      <c r="AA221" s="8" t="n"/>
      <c r="AB221" s="8" t="n"/>
      <c r="AC221" s="8" t="n"/>
      <c r="AD221" s="8" t="n"/>
      <c r="AE221" s="8" t="n"/>
      <c r="AF221" s="8" t="n"/>
      <c r="AG221" s="8" t="n"/>
      <c r="AH221" s="8" t="n"/>
      <c r="AI221" s="8" t="n"/>
      <c r="AJ221" s="8">
        <f>IF(OR(AH221="",'Submission &amp; QC'!$C$18=""),"",IF(AND(ABS(AH221-'Submission &amp; QC'!$C$18)&lt;=0.0005*ABS('Submission &amp; QC'!$C$18),ABS(AI221-'Submission &amp; QC'!$C$19)&lt;=0.0005*ABS('Submission &amp; QC'!$C$19)),"Pass","Fail"))</f>
        <v/>
      </c>
      <c r="AK221" s="8" t="n"/>
      <c r="AL221" s="8" t="n"/>
    </row>
    <row r="222" ht="225" customHeight="1">
      <c r="A222" s="3" t="inlineStr">
        <is>
          <t>C221</t>
        </is>
      </c>
      <c r="B222" s="10" t="inlineStr">
        <is>
          <t>C</t>
        </is>
      </c>
      <c r="C222" s="3" t="n">
        <v>1</v>
      </c>
      <c r="D222" s="3" t="inlineStr">
        <is>
          <t>Mixed</t>
        </is>
      </c>
      <c r="E222" s="3" t="inlineStr">
        <is>
          <t>MIX-Region-Separate-Large-Full</t>
        </is>
      </c>
      <c r="F222" s="3" t="inlineStr">
        <is>
          <t>Mixed: install and remove (separate budgets), large install budget ($5-15 M), full removal (100%; $50,000 + $1,000/m), Whole model area</t>
        </is>
      </c>
      <c r="G222" s="3" t="inlineStr">
        <is>
          <t>Whole model area</t>
        </is>
      </c>
      <c r="H222" s="3" t="n"/>
      <c r="I222" s="3" t="n"/>
      <c r="J222" s="3" t="n"/>
      <c r="K222" s="3" t="inlineStr">
        <is>
          <t>Large: $5-15 M</t>
        </is>
      </c>
      <c r="L222" s="3" t="n"/>
      <c r="M222" s="3" t="inlineStr">
        <is>
          <t>Full removal (100%; $50,000 + $1,000/m)</t>
        </is>
      </c>
      <c r="N222" s="3" t="n"/>
      <c r="O222" s="3" t="n"/>
      <c r="P222" s="3" t="inlineStr">
        <is>
          <t>No</t>
        </is>
      </c>
      <c r="Q222" s="3" t="n"/>
      <c r="R222" s="3" t="inlineStr">
        <is>
          <t>Strategy &gt; Strategy: Mixed: decommission and install
Strategy &gt; Shared budget: unticked
Installation &gt; Maximum budget per scenario (USD): 15,000,000
Installation &gt; Minimum budget per scenario (USD): 5,000,000
Installation &gt; How budgets are drawn: Uniform
Decommissioning &gt; Removal budget (USD): 5,000,000
Decommissioning &gt; Cost: Depth-based
Decommissioning &gt; Fixed cost per removal (USD, added): 50,000
Decommissioning &gt; USD per metre depth: 1,000
Decommissioning &gt; Min removals: 1
Decommissioning &gt; Max removals: 25
Decommissioning &gt; Fraction of each structure removed: 1.0
Live solver / Search &gt; Number of scenarios to run: 100
Search &gt; Search algorithm: Random search
Search &gt; Random seed: 1,221</t>
        </is>
      </c>
      <c r="S222" s="3" t="inlineStr">
        <is>
          <t>C221_MIX-Region-Separate-Large-Full.json</t>
        </is>
      </c>
      <c r="T222" s="3" t="n">
        <v>100</v>
      </c>
      <c r="U222" s="3" t="n">
        <v>1221</v>
      </c>
      <c r="V222" s="3" t="n">
        <v>988</v>
      </c>
      <c r="W222" s="3" t="n">
        <v>314</v>
      </c>
      <c r="X222" s="3">
        <f>ROUND((T222+1)*'Read me'!$C$14/60,1)</f>
        <v/>
      </c>
      <c r="Y222" s="8" t="n"/>
      <c r="Z222" s="8" t="inlineStr">
        <is>
          <t>Not started</t>
        </is>
      </c>
      <c r="AA222" s="8" t="n"/>
      <c r="AB222" s="8" t="n"/>
      <c r="AC222" s="8" t="n"/>
      <c r="AD222" s="8" t="n"/>
      <c r="AE222" s="8" t="n"/>
      <c r="AF222" s="8" t="n"/>
      <c r="AG222" s="8" t="n"/>
      <c r="AH222" s="8" t="n"/>
      <c r="AI222" s="8" t="n"/>
      <c r="AJ222" s="8">
        <f>IF(OR(AH222="",'Submission &amp; QC'!$C$18=""),"",IF(AND(ABS(AH222-'Submission &amp; QC'!$C$18)&lt;=0.0005*ABS('Submission &amp; QC'!$C$18),ABS(AI222-'Submission &amp; QC'!$C$19)&lt;=0.0005*ABS('Submission &amp; QC'!$C$19)),"Pass","Fail"))</f>
        <v/>
      </c>
      <c r="AK222" s="8" t="n"/>
      <c r="AL222" s="8" t="n"/>
    </row>
    <row r="223" ht="225" customHeight="1">
      <c r="A223" s="3" t="inlineStr">
        <is>
          <t>C222</t>
        </is>
      </c>
      <c r="B223" s="10" t="inlineStr">
        <is>
          <t>C</t>
        </is>
      </c>
      <c r="C223" s="3" t="n">
        <v>2</v>
      </c>
      <c r="D223" s="3" t="inlineStr">
        <is>
          <t>Mixed</t>
        </is>
      </c>
      <c r="E223" s="3" t="inlineStr">
        <is>
          <t>MIX-Region-Separate-Large-Partial</t>
        </is>
      </c>
      <c r="F223" s="3" t="inlineStr">
        <is>
          <t>Mixed: install and remove (separate budgets), large install budget ($5-15 M), partial removal / toppling (50%; $30,000 + $600/m), Whole model area</t>
        </is>
      </c>
      <c r="G223" s="3" t="inlineStr">
        <is>
          <t>Whole model area</t>
        </is>
      </c>
      <c r="H223" s="3" t="n"/>
      <c r="I223" s="3" t="n"/>
      <c r="J223" s="3" t="n"/>
      <c r="K223" s="3" t="inlineStr">
        <is>
          <t>Large: $5-15 M</t>
        </is>
      </c>
      <c r="L223" s="3" t="n"/>
      <c r="M223" s="3" t="inlineStr">
        <is>
          <t>Partial removal / toppling (50%; $30,000 + $600/m)</t>
        </is>
      </c>
      <c r="N223" s="3" t="n"/>
      <c r="O223" s="3" t="n"/>
      <c r="P223" s="3" t="inlineStr">
        <is>
          <t>No</t>
        </is>
      </c>
      <c r="Q223" s="3" t="n"/>
      <c r="R223" s="3" t="inlineStr">
        <is>
          <t>Strategy &gt; Strategy: Mixed: decommission and install
Strategy &gt; Shared budget: unticked
Installation &gt; Maximum budget per scenario (USD): 15,000,000
Installation &gt; Minimum budget per scenario (USD): 5,000,000
Installation &gt; How budgets are drawn: Uniform
Decommissioning &gt; Removal budget (USD): 5,000,000
Decommissioning &gt; Cost: Depth-based
Decommissioning &gt; Fixed cost per removal (USD, added): 30,000
Decommissioning &gt; USD per metre depth: 600
Decommissioning &gt; Min removals: 1
Decommissioning &gt; Max removals: 25
Decommissioning &gt; Fraction of each structure removed: 0.5
Live solver / Search &gt; Number of scenarios to run: 100
Search &gt; Search algorithm: Random search
Search &gt; Random seed: 1,222</t>
        </is>
      </c>
      <c r="S223" s="3" t="inlineStr">
        <is>
          <t>C222_MIX-Region-Separate-Large-Partial.json</t>
        </is>
      </c>
      <c r="T223" s="3" t="n">
        <v>100</v>
      </c>
      <c r="U223" s="3" t="n">
        <v>1222</v>
      </c>
      <c r="V223" s="3" t="n">
        <v>988</v>
      </c>
      <c r="W223" s="3" t="n">
        <v>314</v>
      </c>
      <c r="X223" s="3">
        <f>ROUND((T223+1)*'Read me'!$C$14/60,1)</f>
        <v/>
      </c>
      <c r="Y223" s="8" t="n"/>
      <c r="Z223" s="8" t="inlineStr">
        <is>
          <t>Not started</t>
        </is>
      </c>
      <c r="AA223" s="8" t="n"/>
      <c r="AB223" s="8" t="n"/>
      <c r="AC223" s="8" t="n"/>
      <c r="AD223" s="8" t="n"/>
      <c r="AE223" s="8" t="n"/>
      <c r="AF223" s="8" t="n"/>
      <c r="AG223" s="8" t="n"/>
      <c r="AH223" s="8" t="n"/>
      <c r="AI223" s="8" t="n"/>
      <c r="AJ223" s="8">
        <f>IF(OR(AH223="",'Submission &amp; QC'!$C$18=""),"",IF(AND(ABS(AH223-'Submission &amp; QC'!$C$18)&lt;=0.0005*ABS('Submission &amp; QC'!$C$18),ABS(AI223-'Submission &amp; QC'!$C$19)&lt;=0.0005*ABS('Submission &amp; QC'!$C$19)),"Pass","Fail"))</f>
        <v/>
      </c>
      <c r="AK223" s="8" t="n"/>
      <c r="AL223" s="8" t="n"/>
    </row>
    <row r="224" ht="225" customHeight="1">
      <c r="A224" s="3" t="inlineStr">
        <is>
          <t>C223</t>
        </is>
      </c>
      <c r="B224" s="10" t="inlineStr">
        <is>
          <t>C</t>
        </is>
      </c>
      <c r="C224" s="3" t="n">
        <v>1</v>
      </c>
      <c r="D224" s="3" t="inlineStr">
        <is>
          <t>Mixed</t>
        </is>
      </c>
      <c r="E224" s="3" t="inlineStr">
        <is>
          <t>MIX-Region-Shared-Small-Full</t>
        </is>
      </c>
      <c r="F224" s="3" t="inlineStr">
        <is>
          <t>Mixed: install and remove (one shared budget), small install budget ($0.1-1 M), full removal (100%; $50,000 + $1,000/m), Whole model area</t>
        </is>
      </c>
      <c r="G224" s="3" t="inlineStr">
        <is>
          <t>Whole model area</t>
        </is>
      </c>
      <c r="H224" s="3" t="n"/>
      <c r="I224" s="3" t="n"/>
      <c r="J224" s="3" t="n"/>
      <c r="K224" s="3" t="inlineStr">
        <is>
          <t>Small: $0.1-1 M</t>
        </is>
      </c>
      <c r="L224" s="3" t="n"/>
      <c r="M224" s="3" t="inlineStr">
        <is>
          <t>Full removal (100%; $50,000 + $1,000/m)</t>
        </is>
      </c>
      <c r="N224" s="3" t="n"/>
      <c r="O224" s="3" t="n"/>
      <c r="P224" s="3" t="inlineStr">
        <is>
          <t>Yes</t>
        </is>
      </c>
      <c r="Q224" s="3" t="n"/>
      <c r="R224" s="3" t="inlineStr">
        <is>
          <t>Strategy &gt; Strategy: Mixed: decommission and install
Strategy &gt; Shared budget: ticked
Installation &gt; Maximum budget per scenario (USD): 1,000,000
Installation &gt; Minimum budget per scenario (USD): 100,000
Installation &gt; How budgets are drawn: Uniform
Decommissioning &gt; Removal budget (USD): 5,000,000
Decommissioning &gt; Cost: Depth-based
Decommissioning &gt; Fixed cost per removal (USD, added): 50,000
Decommissioning &gt; USD per metre depth: 1,000
Decommissioning &gt; Min removals: 1
Decommissioning &gt; Max removals: 25
Decommissioning &gt; Fraction of each structure removed: 1.0
Live solver / Search &gt; Number of scenarios to run: 100
Search &gt; Search algorithm: Random search
Search &gt; Random seed: 1,223</t>
        </is>
      </c>
      <c r="S224" s="3" t="inlineStr">
        <is>
          <t>C223_MIX-Region-Shared-Small-Full.json</t>
        </is>
      </c>
      <c r="T224" s="3" t="n">
        <v>100</v>
      </c>
      <c r="U224" s="3" t="n">
        <v>1223</v>
      </c>
      <c r="V224" s="3" t="n">
        <v>988</v>
      </c>
      <c r="W224" s="3" t="n">
        <v>314</v>
      </c>
      <c r="X224" s="3">
        <f>ROUND((T224+1)*'Read me'!$C$14/60,1)</f>
        <v/>
      </c>
      <c r="Y224" s="8" t="n"/>
      <c r="Z224" s="8" t="inlineStr">
        <is>
          <t>Not started</t>
        </is>
      </c>
      <c r="AA224" s="8" t="n"/>
      <c r="AB224" s="8" t="n"/>
      <c r="AC224" s="8" t="n"/>
      <c r="AD224" s="8" t="n"/>
      <c r="AE224" s="8" t="n"/>
      <c r="AF224" s="8" t="n"/>
      <c r="AG224" s="8" t="n"/>
      <c r="AH224" s="8" t="n"/>
      <c r="AI224" s="8" t="n"/>
      <c r="AJ224" s="8">
        <f>IF(OR(AH224="",'Submission &amp; QC'!$C$18=""),"",IF(AND(ABS(AH224-'Submission &amp; QC'!$C$18)&lt;=0.0005*ABS('Submission &amp; QC'!$C$18),ABS(AI224-'Submission &amp; QC'!$C$19)&lt;=0.0005*ABS('Submission &amp; QC'!$C$19)),"Pass","Fail"))</f>
        <v/>
      </c>
      <c r="AK224" s="8" t="n"/>
      <c r="AL224" s="8" t="n"/>
    </row>
    <row r="225" ht="225" customHeight="1">
      <c r="A225" s="3" t="inlineStr">
        <is>
          <t>C224</t>
        </is>
      </c>
      <c r="B225" s="10" t="inlineStr">
        <is>
          <t>C</t>
        </is>
      </c>
      <c r="C225" s="3" t="n">
        <v>2</v>
      </c>
      <c r="D225" s="3" t="inlineStr">
        <is>
          <t>Mixed</t>
        </is>
      </c>
      <c r="E225" s="3" t="inlineStr">
        <is>
          <t>MIX-Region-Shared-Small-Partial</t>
        </is>
      </c>
      <c r="F225" s="3" t="inlineStr">
        <is>
          <t>Mixed: install and remove (one shared budget), small install budget ($0.1-1 M), partial removal / toppling (50%; $30,000 + $600/m), Whole model area</t>
        </is>
      </c>
      <c r="G225" s="3" t="inlineStr">
        <is>
          <t>Whole model area</t>
        </is>
      </c>
      <c r="H225" s="3" t="n"/>
      <c r="I225" s="3" t="n"/>
      <c r="J225" s="3" t="n"/>
      <c r="K225" s="3" t="inlineStr">
        <is>
          <t>Small: $0.1-1 M</t>
        </is>
      </c>
      <c r="L225" s="3" t="n"/>
      <c r="M225" s="3" t="inlineStr">
        <is>
          <t>Partial removal / toppling (50%; $30,000 + $600/m)</t>
        </is>
      </c>
      <c r="N225" s="3" t="n"/>
      <c r="O225" s="3" t="n"/>
      <c r="P225" s="3" t="inlineStr">
        <is>
          <t>Yes</t>
        </is>
      </c>
      <c r="Q225" s="3" t="n"/>
      <c r="R225" s="3" t="inlineStr">
        <is>
          <t>Strategy &gt; Strategy: Mixed: decommission and install
Strategy &gt; Shared budget: ticked
Installation &gt; Maximum budget per scenario (USD): 1,000,000
Installation &gt; Minimum budget per scenario (USD): 100,000
Installation &gt; How budgets are drawn: Uniform
Decommissioning &gt; Removal budget (USD): 5,000,000
Decommissioning &gt; Cost: Depth-based
Decommissioning &gt; Fixed cost per removal (USD, added): 30,000
Decommissioning &gt; USD per metre depth: 600
Decommissioning &gt; Min removals: 1
Decommissioning &gt; Max removals: 25
Decommissioning &gt; Fraction of each structure removed: 0.5
Live solver / Search &gt; Number of scenarios to run: 100
Search &gt; Search algorithm: Random search
Search &gt; Random seed: 1,224</t>
        </is>
      </c>
      <c r="S225" s="3" t="inlineStr">
        <is>
          <t>C224_MIX-Region-Shared-Small-Partial.json</t>
        </is>
      </c>
      <c r="T225" s="3" t="n">
        <v>100</v>
      </c>
      <c r="U225" s="3" t="n">
        <v>1224</v>
      </c>
      <c r="V225" s="3" t="n">
        <v>988</v>
      </c>
      <c r="W225" s="3" t="n">
        <v>314</v>
      </c>
      <c r="X225" s="3">
        <f>ROUND((T225+1)*'Read me'!$C$14/60,1)</f>
        <v/>
      </c>
      <c r="Y225" s="8" t="n"/>
      <c r="Z225" s="8" t="inlineStr">
        <is>
          <t>Not started</t>
        </is>
      </c>
      <c r="AA225" s="8" t="n"/>
      <c r="AB225" s="8" t="n"/>
      <c r="AC225" s="8" t="n"/>
      <c r="AD225" s="8" t="n"/>
      <c r="AE225" s="8" t="n"/>
      <c r="AF225" s="8" t="n"/>
      <c r="AG225" s="8" t="n"/>
      <c r="AH225" s="8" t="n"/>
      <c r="AI225" s="8" t="n"/>
      <c r="AJ225" s="8">
        <f>IF(OR(AH225="",'Submission &amp; QC'!$C$18=""),"",IF(AND(ABS(AH225-'Submission &amp; QC'!$C$18)&lt;=0.0005*ABS('Submission &amp; QC'!$C$18),ABS(AI225-'Submission &amp; QC'!$C$19)&lt;=0.0005*ABS('Submission &amp; QC'!$C$19)),"Pass","Fail"))</f>
        <v/>
      </c>
      <c r="AK225" s="8" t="n"/>
      <c r="AL225" s="8" t="n"/>
    </row>
    <row r="226" ht="225" customHeight="1">
      <c r="A226" s="3" t="inlineStr">
        <is>
          <t>C225</t>
        </is>
      </c>
      <c r="B226" s="10" t="inlineStr">
        <is>
          <t>C</t>
        </is>
      </c>
      <c r="C226" s="3" t="n">
        <v>1</v>
      </c>
      <c r="D226" s="3" t="inlineStr">
        <is>
          <t>Mixed</t>
        </is>
      </c>
      <c r="E226" s="3" t="inlineStr">
        <is>
          <t>MIX-Region-Shared-Medium-Full</t>
        </is>
      </c>
      <c r="F226" s="3" t="inlineStr">
        <is>
          <t>Mixed: install and remove (one shared budget), medium install budget ($1-5 M), full removal (100%; $50,000 + $1,000/m), Whole model area</t>
        </is>
      </c>
      <c r="G226" s="3" t="inlineStr">
        <is>
          <t>Whole model area</t>
        </is>
      </c>
      <c r="H226" s="3" t="n"/>
      <c r="I226" s="3" t="n"/>
      <c r="J226" s="3" t="n"/>
      <c r="K226" s="3" t="inlineStr">
        <is>
          <t>Medium: $1-5 M</t>
        </is>
      </c>
      <c r="L226" s="3" t="n"/>
      <c r="M226" s="3" t="inlineStr">
        <is>
          <t>Full removal (100%; $50,000 + $1,000/m)</t>
        </is>
      </c>
      <c r="N226" s="3" t="n"/>
      <c r="O226" s="3" t="n"/>
      <c r="P226" s="3" t="inlineStr">
        <is>
          <t>Yes</t>
        </is>
      </c>
      <c r="Q226" s="3" t="n"/>
      <c r="R226" s="3" t="inlineStr">
        <is>
          <t>Strategy &gt; Strategy: Mixed: decommission and install
Strategy &gt; Shared budget: ticked
Installation &gt; Maximum budget per scenario (USD): 5,000,000
Installation &gt; Minimum budget per scenario (USD): 1,000,000
Installation &gt; How budgets are drawn: Uniform
Decommissioning &gt; Removal budget (USD): 5,000,000
Decommissioning &gt; Cost: Depth-based
Decommissioning &gt; Fixed cost per removal (USD, added): 50,000
Decommissioning &gt; USD per metre depth: 1,000
Decommissioning &gt; Min removals: 1
Decommissioning &gt; Max removals: 25
Decommissioning &gt; Fraction of each structure removed: 1.0
Live solver / Search &gt; Number of scenarios to run: 100
Search &gt; Search algorithm: Random search
Search &gt; Random seed: 1,225</t>
        </is>
      </c>
      <c r="S226" s="3" t="inlineStr">
        <is>
          <t>C225_MIX-Region-Shared-Medium-Full.json</t>
        </is>
      </c>
      <c r="T226" s="3" t="n">
        <v>100</v>
      </c>
      <c r="U226" s="3" t="n">
        <v>1225</v>
      </c>
      <c r="V226" s="3" t="n">
        <v>988</v>
      </c>
      <c r="W226" s="3" t="n">
        <v>314</v>
      </c>
      <c r="X226" s="3">
        <f>ROUND((T226+1)*'Read me'!$C$14/60,1)</f>
        <v/>
      </c>
      <c r="Y226" s="8" t="n"/>
      <c r="Z226" s="8" t="inlineStr">
        <is>
          <t>Not started</t>
        </is>
      </c>
      <c r="AA226" s="8" t="n"/>
      <c r="AB226" s="8" t="n"/>
      <c r="AC226" s="8" t="n"/>
      <c r="AD226" s="8" t="n"/>
      <c r="AE226" s="8" t="n"/>
      <c r="AF226" s="8" t="n"/>
      <c r="AG226" s="8" t="n"/>
      <c r="AH226" s="8" t="n"/>
      <c r="AI226" s="8" t="n"/>
      <c r="AJ226" s="8">
        <f>IF(OR(AH226="",'Submission &amp; QC'!$C$18=""),"",IF(AND(ABS(AH226-'Submission &amp; QC'!$C$18)&lt;=0.0005*ABS('Submission &amp; QC'!$C$18),ABS(AI226-'Submission &amp; QC'!$C$19)&lt;=0.0005*ABS('Submission &amp; QC'!$C$19)),"Pass","Fail"))</f>
        <v/>
      </c>
      <c r="AK226" s="8" t="n"/>
      <c r="AL226" s="8" t="n"/>
    </row>
    <row r="227" ht="225" customHeight="1">
      <c r="A227" s="3" t="inlineStr">
        <is>
          <t>C226</t>
        </is>
      </c>
      <c r="B227" s="10" t="inlineStr">
        <is>
          <t>C</t>
        </is>
      </c>
      <c r="C227" s="3" t="n">
        <v>2</v>
      </c>
      <c r="D227" s="3" t="inlineStr">
        <is>
          <t>Mixed</t>
        </is>
      </c>
      <c r="E227" s="3" t="inlineStr">
        <is>
          <t>MIX-Region-Shared-Medium-Partial</t>
        </is>
      </c>
      <c r="F227" s="3" t="inlineStr">
        <is>
          <t>Mixed: install and remove (one shared budget), medium install budget ($1-5 M), partial removal / toppling (50%; $30,000 + $600/m), Whole model area</t>
        </is>
      </c>
      <c r="G227" s="3" t="inlineStr">
        <is>
          <t>Whole model area</t>
        </is>
      </c>
      <c r="H227" s="3" t="n"/>
      <c r="I227" s="3" t="n"/>
      <c r="J227" s="3" t="n"/>
      <c r="K227" s="3" t="inlineStr">
        <is>
          <t>Medium: $1-5 M</t>
        </is>
      </c>
      <c r="L227" s="3" t="n"/>
      <c r="M227" s="3" t="inlineStr">
        <is>
          <t>Partial removal / toppling (50%; $30,000 + $600/m)</t>
        </is>
      </c>
      <c r="N227" s="3" t="n"/>
      <c r="O227" s="3" t="n"/>
      <c r="P227" s="3" t="inlineStr">
        <is>
          <t>Yes</t>
        </is>
      </c>
      <c r="Q227" s="3" t="n"/>
      <c r="R227" s="3" t="inlineStr">
        <is>
          <t>Strategy &gt; Strategy: Mixed: decommission and install
Strategy &gt; Shared budget: ticked
Installation &gt; Maximum budget per scenario (USD): 5,000,000
Installation &gt; Minimum budget per scenario (USD): 1,000,000
Installation &gt; How budgets are drawn: Uniform
Decommissioning &gt; Removal budget (USD): 5,000,000
Decommissioning &gt; Cost: Depth-based
Decommissioning &gt; Fixed cost per removal (USD, added): 30,000
Decommissioning &gt; USD per metre depth: 600
Decommissioning &gt; Min removals: 1
Decommissioning &gt; Max removals: 25
Decommissioning &gt; Fraction of each structure removed: 0.5
Live solver / Search &gt; Number of scenarios to run: 100
Search &gt; Search algorithm: Random search
Search &gt; Random seed: 1,226</t>
        </is>
      </c>
      <c r="S227" s="3" t="inlineStr">
        <is>
          <t>C226_MIX-Region-Shared-Medium-Partial.json</t>
        </is>
      </c>
      <c r="T227" s="3" t="n">
        <v>100</v>
      </c>
      <c r="U227" s="3" t="n">
        <v>1226</v>
      </c>
      <c r="V227" s="3" t="n">
        <v>988</v>
      </c>
      <c r="W227" s="3" t="n">
        <v>314</v>
      </c>
      <c r="X227" s="3">
        <f>ROUND((T227+1)*'Read me'!$C$14/60,1)</f>
        <v/>
      </c>
      <c r="Y227" s="8" t="n"/>
      <c r="Z227" s="8" t="inlineStr">
        <is>
          <t>Not started</t>
        </is>
      </c>
      <c r="AA227" s="8" t="n"/>
      <c r="AB227" s="8" t="n"/>
      <c r="AC227" s="8" t="n"/>
      <c r="AD227" s="8" t="n"/>
      <c r="AE227" s="8" t="n"/>
      <c r="AF227" s="8" t="n"/>
      <c r="AG227" s="8" t="n"/>
      <c r="AH227" s="8" t="n"/>
      <c r="AI227" s="8" t="n"/>
      <c r="AJ227" s="8">
        <f>IF(OR(AH227="",'Submission &amp; QC'!$C$18=""),"",IF(AND(ABS(AH227-'Submission &amp; QC'!$C$18)&lt;=0.0005*ABS('Submission &amp; QC'!$C$18),ABS(AI227-'Submission &amp; QC'!$C$19)&lt;=0.0005*ABS('Submission &amp; QC'!$C$19)),"Pass","Fail"))</f>
        <v/>
      </c>
      <c r="AK227" s="8" t="n"/>
      <c r="AL227" s="8" t="n"/>
    </row>
    <row r="228" ht="225" customHeight="1">
      <c r="A228" s="3" t="inlineStr">
        <is>
          <t>C227</t>
        </is>
      </c>
      <c r="B228" s="10" t="inlineStr">
        <is>
          <t>C</t>
        </is>
      </c>
      <c r="C228" s="3" t="n">
        <v>1</v>
      </c>
      <c r="D228" s="3" t="inlineStr">
        <is>
          <t>Mixed</t>
        </is>
      </c>
      <c r="E228" s="3" t="inlineStr">
        <is>
          <t>MIX-Region-Shared-Large-Full</t>
        </is>
      </c>
      <c r="F228" s="3" t="inlineStr">
        <is>
          <t>Mixed: install and remove (one shared budget), large install budget ($5-15 M), full removal (100%; $50,000 + $1,000/m), Whole model area</t>
        </is>
      </c>
      <c r="G228" s="3" t="inlineStr">
        <is>
          <t>Whole model area</t>
        </is>
      </c>
      <c r="H228" s="3" t="n"/>
      <c r="I228" s="3" t="n"/>
      <c r="J228" s="3" t="n"/>
      <c r="K228" s="3" t="inlineStr">
        <is>
          <t>Large: $5-15 M</t>
        </is>
      </c>
      <c r="L228" s="3" t="n"/>
      <c r="M228" s="3" t="inlineStr">
        <is>
          <t>Full removal (100%; $50,000 + $1,000/m)</t>
        </is>
      </c>
      <c r="N228" s="3" t="n"/>
      <c r="O228" s="3" t="n"/>
      <c r="P228" s="3" t="inlineStr">
        <is>
          <t>Yes</t>
        </is>
      </c>
      <c r="Q228" s="3" t="n"/>
      <c r="R228" s="3" t="inlineStr">
        <is>
          <t>Strategy &gt; Strategy: Mixed: decommission and install
Strategy &gt; Shared budget: ticked
Installation &gt; Maximum budget per scenario (USD): 15,000,000
Installation &gt; Minimum budget per scenario (USD): 5,000,000
Installation &gt; How budgets are drawn: Uniform
Decommissioning &gt; Removal budget (USD): 5,000,000
Decommissioning &gt; Cost: Depth-based
Decommissioning &gt; Fixed cost per removal (USD, added): 50,000
Decommissioning &gt; USD per metre depth: 1,000
Decommissioning &gt; Min removals: 1
Decommissioning &gt; Max removals: 25
Decommissioning &gt; Fraction of each structure removed: 1.0
Live solver / Search &gt; Number of scenarios to run: 100
Search &gt; Search algorithm: Random search
Search &gt; Random seed: 1,227</t>
        </is>
      </c>
      <c r="S228" s="3" t="inlineStr">
        <is>
          <t>C227_MIX-Region-Shared-Large-Full.json</t>
        </is>
      </c>
      <c r="T228" s="3" t="n">
        <v>100</v>
      </c>
      <c r="U228" s="3" t="n">
        <v>1227</v>
      </c>
      <c r="V228" s="3" t="n">
        <v>988</v>
      </c>
      <c r="W228" s="3" t="n">
        <v>314</v>
      </c>
      <c r="X228" s="3">
        <f>ROUND((T228+1)*'Read me'!$C$14/60,1)</f>
        <v/>
      </c>
      <c r="Y228" s="8" t="n"/>
      <c r="Z228" s="8" t="inlineStr">
        <is>
          <t>Not started</t>
        </is>
      </c>
      <c r="AA228" s="8" t="n"/>
      <c r="AB228" s="8" t="n"/>
      <c r="AC228" s="8" t="n"/>
      <c r="AD228" s="8" t="n"/>
      <c r="AE228" s="8" t="n"/>
      <c r="AF228" s="8" t="n"/>
      <c r="AG228" s="8" t="n"/>
      <c r="AH228" s="8" t="n"/>
      <c r="AI228" s="8" t="n"/>
      <c r="AJ228" s="8">
        <f>IF(OR(AH228="",'Submission &amp; QC'!$C$18=""),"",IF(AND(ABS(AH228-'Submission &amp; QC'!$C$18)&lt;=0.0005*ABS('Submission &amp; QC'!$C$18),ABS(AI228-'Submission &amp; QC'!$C$19)&lt;=0.0005*ABS('Submission &amp; QC'!$C$19)),"Pass","Fail"))</f>
        <v/>
      </c>
      <c r="AK228" s="8" t="n"/>
      <c r="AL228" s="8" t="n"/>
    </row>
    <row r="229" ht="225" customHeight="1">
      <c r="A229" s="3" t="inlineStr">
        <is>
          <t>C228</t>
        </is>
      </c>
      <c r="B229" s="10" t="inlineStr">
        <is>
          <t>C</t>
        </is>
      </c>
      <c r="C229" s="3" t="n">
        <v>2</v>
      </c>
      <c r="D229" s="3" t="inlineStr">
        <is>
          <t>Mixed</t>
        </is>
      </c>
      <c r="E229" s="3" t="inlineStr">
        <is>
          <t>MIX-Region-Shared-Large-Partial</t>
        </is>
      </c>
      <c r="F229" s="3" t="inlineStr">
        <is>
          <t>Mixed: install and remove (one shared budget), large install budget ($5-15 M), partial removal / toppling (50%; $30,000 + $600/m), Whole model area</t>
        </is>
      </c>
      <c r="G229" s="3" t="inlineStr">
        <is>
          <t>Whole model area</t>
        </is>
      </c>
      <c r="H229" s="3" t="n"/>
      <c r="I229" s="3" t="n"/>
      <c r="J229" s="3" t="n"/>
      <c r="K229" s="3" t="inlineStr">
        <is>
          <t>Large: $5-15 M</t>
        </is>
      </c>
      <c r="L229" s="3" t="n"/>
      <c r="M229" s="3" t="inlineStr">
        <is>
          <t>Partial removal / toppling (50%; $30,000 + $600/m)</t>
        </is>
      </c>
      <c r="N229" s="3" t="n"/>
      <c r="O229" s="3" t="n"/>
      <c r="P229" s="3" t="inlineStr">
        <is>
          <t>Yes</t>
        </is>
      </c>
      <c r="Q229" s="3" t="n"/>
      <c r="R229" s="3" t="inlineStr">
        <is>
          <t>Strategy &gt; Strategy: Mixed: decommission and install
Strategy &gt; Shared budget: ticked
Installation &gt; Maximum budget per scenario (USD): 15,000,000
Installation &gt; Minimum budget per scenario (USD): 5,000,000
Installation &gt; How budgets are drawn: Uniform
Decommissioning &gt; Removal budget (USD): 5,000,000
Decommissioning &gt; Cost: Depth-based
Decommissioning &gt; Fixed cost per removal (USD, added): 30,000
Decommissioning &gt; USD per metre depth: 600
Decommissioning &gt; Min removals: 1
Decommissioning &gt; Max removals: 25
Decommissioning &gt; Fraction of each structure removed: 0.5
Live solver / Search &gt; Number of scenarios to run: 100
Search &gt; Search algorithm: Random search
Search &gt; Random seed: 1,228</t>
        </is>
      </c>
      <c r="S229" s="3" t="inlineStr">
        <is>
          <t>C228_MIX-Region-Shared-Large-Partial.json</t>
        </is>
      </c>
      <c r="T229" s="3" t="n">
        <v>100</v>
      </c>
      <c r="U229" s="3" t="n">
        <v>1228</v>
      </c>
      <c r="V229" s="3" t="n">
        <v>988</v>
      </c>
      <c r="W229" s="3" t="n">
        <v>314</v>
      </c>
      <c r="X229" s="3">
        <f>ROUND((T229+1)*'Read me'!$C$14/60,1)</f>
        <v/>
      </c>
      <c r="Y229" s="8" t="n"/>
      <c r="Z229" s="8" t="inlineStr">
        <is>
          <t>Not started</t>
        </is>
      </c>
      <c r="AA229" s="8" t="n"/>
      <c r="AB229" s="8" t="n"/>
      <c r="AC229" s="8" t="n"/>
      <c r="AD229" s="8" t="n"/>
      <c r="AE229" s="8" t="n"/>
      <c r="AF229" s="8" t="n"/>
      <c r="AG229" s="8" t="n"/>
      <c r="AH229" s="8" t="n"/>
      <c r="AI229" s="8" t="n"/>
      <c r="AJ229" s="8">
        <f>IF(OR(AH229="",'Submission &amp; QC'!$C$18=""),"",IF(AND(ABS(AH229-'Submission &amp; QC'!$C$18)&lt;=0.0005*ABS('Submission &amp; QC'!$C$18),ABS(AI229-'Submission &amp; QC'!$C$19)&lt;=0.0005*ABS('Submission &amp; QC'!$C$19)),"Pass","Fail"))</f>
        <v/>
      </c>
      <c r="AK229" s="8" t="n"/>
      <c r="AL229" s="8" t="n"/>
    </row>
    <row r="230" ht="255" customHeight="1">
      <c r="A230" s="3" t="inlineStr">
        <is>
          <t>C229</t>
        </is>
      </c>
      <c r="B230" s="10" t="inlineStr">
        <is>
          <t>C</t>
        </is>
      </c>
      <c r="C230" s="3" t="n">
        <v>3</v>
      </c>
      <c r="D230" s="3" t="inlineStr">
        <is>
          <t>Mixed</t>
        </is>
      </c>
      <c r="E230" s="3" t="inlineStr">
        <is>
          <t>MIX-AL-Separate-Small-Full</t>
        </is>
      </c>
      <c r="F230" s="3" t="inlineStr">
        <is>
          <t>Mixed: install and remove (separate budgets), small install budget ($0.1-1 M), full removal (100%; $50,000 + $1,000/m), Alabama (west of the Perdido River)</t>
        </is>
      </c>
      <c r="G230" s="3" t="inlineStr">
        <is>
          <t>Alabama (west of the Perdido River)</t>
        </is>
      </c>
      <c r="H230" s="3" t="n"/>
      <c r="I230" s="3" t="n"/>
      <c r="J230" s="3" t="n"/>
      <c r="K230" s="3" t="inlineStr">
        <is>
          <t>Small: $0.1-1 M</t>
        </is>
      </c>
      <c r="L230" s="3" t="n"/>
      <c r="M230" s="3" t="inlineStr">
        <is>
          <t>Full removal (100%; $50,000 + $1,000/m)</t>
        </is>
      </c>
      <c r="N230" s="3" t="n"/>
      <c r="O230" s="3" t="n"/>
      <c r="P230" s="3" t="inlineStr">
        <is>
          <t>No</t>
        </is>
      </c>
      <c r="Q230" s="3" t="n"/>
      <c r="R230" s="3" t="inlineStr">
        <is>
          <t>Strategy &gt; Strategy: Mixed: decommission and install
Strategy &gt; Shared budget: unticked
Installation &gt; Maximum budget per scenario (USD): 1,000,000
Installation &gt; Minimum budget per scenario (USD): 100,000
Installation &gt; How budgets are drawn: Uniform
Installation &gt; East lon: -87.51
Decommissioning &gt; Removal budget (USD): 5,000,000
Decommissioning &gt; Cost: Depth-based
Decommissioning &gt; Fixed cost per removal (USD, added): 50,000
Decommissioning &gt; USD per metre depth: 1,000
Decommissioning &gt; East lon: -87.51
Decommissioning &gt; Min removals: 1
Decommissioning &gt; Max removals: 25
Decommissioning &gt; Fraction of each structure removed: 1.0
Live solver / Search &gt; Number of scenarios to run: 100
Search &gt; Search algorithm: Random search
Search &gt; Random seed: 1,229</t>
        </is>
      </c>
      <c r="S230" s="3" t="inlineStr">
        <is>
          <t>C229_MIX-AL-Separate-Small-Full.json</t>
        </is>
      </c>
      <c r="T230" s="3" t="n">
        <v>100</v>
      </c>
      <c r="U230" s="3" t="n">
        <v>1229</v>
      </c>
      <c r="V230" s="3" t="n">
        <v>416</v>
      </c>
      <c r="W230" s="3" t="n">
        <v>196</v>
      </c>
      <c r="X230" s="3">
        <f>ROUND((T230+1)*'Read me'!$C$14/60,1)</f>
        <v/>
      </c>
      <c r="Y230" s="8" t="n"/>
      <c r="Z230" s="8" t="inlineStr">
        <is>
          <t>Not started</t>
        </is>
      </c>
      <c r="AA230" s="8" t="n"/>
      <c r="AB230" s="8" t="n"/>
      <c r="AC230" s="8" t="n"/>
      <c r="AD230" s="8" t="n"/>
      <c r="AE230" s="8" t="n"/>
      <c r="AF230" s="8" t="n"/>
      <c r="AG230" s="8" t="n"/>
      <c r="AH230" s="8" t="n"/>
      <c r="AI230" s="8" t="n"/>
      <c r="AJ230" s="8">
        <f>IF(OR(AH230="",'Submission &amp; QC'!$C$18=""),"",IF(AND(ABS(AH230-'Submission &amp; QC'!$C$18)&lt;=0.0005*ABS('Submission &amp; QC'!$C$18),ABS(AI230-'Submission &amp; QC'!$C$19)&lt;=0.0005*ABS('Submission &amp; QC'!$C$19)),"Pass","Fail"))</f>
        <v/>
      </c>
      <c r="AK230" s="8" t="n"/>
      <c r="AL230" s="8" t="n"/>
    </row>
    <row r="231" ht="255" customHeight="1">
      <c r="A231" s="3" t="inlineStr">
        <is>
          <t>C230</t>
        </is>
      </c>
      <c r="B231" s="10" t="inlineStr">
        <is>
          <t>C</t>
        </is>
      </c>
      <c r="C231" s="3" t="n">
        <v>3</v>
      </c>
      <c r="D231" s="3" t="inlineStr">
        <is>
          <t>Mixed</t>
        </is>
      </c>
      <c r="E231" s="3" t="inlineStr">
        <is>
          <t>MIX-AL-Separate-Small-Partial</t>
        </is>
      </c>
      <c r="F231" s="3" t="inlineStr">
        <is>
          <t>Mixed: install and remove (separate budgets), small install budget ($0.1-1 M), partial removal / toppling (50%; $30,000 + $600/m), Alabama (west of the Perdido River)</t>
        </is>
      </c>
      <c r="G231" s="3" t="inlineStr">
        <is>
          <t>Alabama (west of the Perdido River)</t>
        </is>
      </c>
      <c r="H231" s="3" t="n"/>
      <c r="I231" s="3" t="n"/>
      <c r="J231" s="3" t="n"/>
      <c r="K231" s="3" t="inlineStr">
        <is>
          <t>Small: $0.1-1 M</t>
        </is>
      </c>
      <c r="L231" s="3" t="n"/>
      <c r="M231" s="3" t="inlineStr">
        <is>
          <t>Partial removal / toppling (50%; $30,000 + $600/m)</t>
        </is>
      </c>
      <c r="N231" s="3" t="n"/>
      <c r="O231" s="3" t="n"/>
      <c r="P231" s="3" t="inlineStr">
        <is>
          <t>No</t>
        </is>
      </c>
      <c r="Q231" s="3" t="n"/>
      <c r="R231" s="3" t="inlineStr">
        <is>
          <t>Strategy &gt; Strategy: Mixed: decommission and install
Strategy &gt; Shared budget: unticked
Installation &gt; Maximum budget per scenario (USD): 1,000,000
Installation &gt; Minimum budget per scenario (USD): 100,000
Installation &gt; How budgets are drawn: Uniform
Installation &gt; East lon: -87.51
Decommissioning &gt; Removal budget (USD): 5,000,000
Decommissioning &gt; Cost: Depth-based
Decommissioning &gt; Fixed cost per removal (USD, added): 30,000
Decommissioning &gt; USD per metre depth: 600
Decommissioning &gt; East lon: -87.51
Decommissioning &gt; Min removals: 1
Decommissioning &gt; Max removals: 25
Decommissioning &gt; Fraction of each structure removed: 0.5
Live solver / Search &gt; Number of scenarios to run: 100
Search &gt; Search algorithm: Random search
Search &gt; Random seed: 1,230</t>
        </is>
      </c>
      <c r="S231" s="3" t="inlineStr">
        <is>
          <t>C230_MIX-AL-Separate-Small-Partial.json</t>
        </is>
      </c>
      <c r="T231" s="3" t="n">
        <v>100</v>
      </c>
      <c r="U231" s="3" t="n">
        <v>1230</v>
      </c>
      <c r="V231" s="3" t="n">
        <v>416</v>
      </c>
      <c r="W231" s="3" t="n">
        <v>196</v>
      </c>
      <c r="X231" s="3">
        <f>ROUND((T231+1)*'Read me'!$C$14/60,1)</f>
        <v/>
      </c>
      <c r="Y231" s="8" t="n"/>
      <c r="Z231" s="8" t="inlineStr">
        <is>
          <t>Not started</t>
        </is>
      </c>
      <c r="AA231" s="8" t="n"/>
      <c r="AB231" s="8" t="n"/>
      <c r="AC231" s="8" t="n"/>
      <c r="AD231" s="8" t="n"/>
      <c r="AE231" s="8" t="n"/>
      <c r="AF231" s="8" t="n"/>
      <c r="AG231" s="8" t="n"/>
      <c r="AH231" s="8" t="n"/>
      <c r="AI231" s="8" t="n"/>
      <c r="AJ231" s="8">
        <f>IF(OR(AH231="",'Submission &amp; QC'!$C$18=""),"",IF(AND(ABS(AH231-'Submission &amp; QC'!$C$18)&lt;=0.0005*ABS('Submission &amp; QC'!$C$18),ABS(AI231-'Submission &amp; QC'!$C$19)&lt;=0.0005*ABS('Submission &amp; QC'!$C$19)),"Pass","Fail"))</f>
        <v/>
      </c>
      <c r="AK231" s="8" t="n"/>
      <c r="AL231" s="8" t="n"/>
    </row>
    <row r="232" ht="255" customHeight="1">
      <c r="A232" s="3" t="inlineStr">
        <is>
          <t>C231</t>
        </is>
      </c>
      <c r="B232" s="10" t="inlineStr">
        <is>
          <t>C</t>
        </is>
      </c>
      <c r="C232" s="3" t="n">
        <v>3</v>
      </c>
      <c r="D232" s="3" t="inlineStr">
        <is>
          <t>Mixed</t>
        </is>
      </c>
      <c r="E232" s="3" t="inlineStr">
        <is>
          <t>MIX-AL-Separate-Medium-Full</t>
        </is>
      </c>
      <c r="F232" s="3" t="inlineStr">
        <is>
          <t>Mixed: install and remove (separate budgets), medium install budget ($1-5 M), full removal (100%; $50,000 + $1,000/m), Alabama (west of the Perdido River)</t>
        </is>
      </c>
      <c r="G232" s="3" t="inlineStr">
        <is>
          <t>Alabama (west of the Perdido River)</t>
        </is>
      </c>
      <c r="H232" s="3" t="n"/>
      <c r="I232" s="3" t="n"/>
      <c r="J232" s="3" t="n"/>
      <c r="K232" s="3" t="inlineStr">
        <is>
          <t>Medium: $1-5 M</t>
        </is>
      </c>
      <c r="L232" s="3" t="n"/>
      <c r="M232" s="3" t="inlineStr">
        <is>
          <t>Full removal (100%; $50,000 + $1,000/m)</t>
        </is>
      </c>
      <c r="N232" s="3" t="n"/>
      <c r="O232" s="3" t="n"/>
      <c r="P232" s="3" t="inlineStr">
        <is>
          <t>No</t>
        </is>
      </c>
      <c r="Q232" s="3" t="n"/>
      <c r="R232" s="3" t="inlineStr">
        <is>
          <t>Strategy &gt; Strategy: Mixed: decommission and install
Strategy &gt; Shared budget: unticked
Installation &gt; Maximum budget per scenario (USD): 5,000,000
Installation &gt; Minimum budget per scenario (USD): 1,000,000
Installation &gt; How budgets are drawn: Uniform
Installation &gt; East lon: -87.51
Decommissioning &gt; Removal budget (USD): 5,000,000
Decommissioning &gt; Cost: Depth-based
Decommissioning &gt; Fixed cost per removal (USD, added): 50,000
Decommissioning &gt; USD per metre depth: 1,000
Decommissioning &gt; East lon: -87.51
Decommissioning &gt; Min removals: 1
Decommissioning &gt; Max removals: 25
Decommissioning &gt; Fraction of each structure removed: 1.0
Live solver / Search &gt; Number of scenarios to run: 100
Search &gt; Search algorithm: Random search
Search &gt; Random seed: 1,231</t>
        </is>
      </c>
      <c r="S232" s="3" t="inlineStr">
        <is>
          <t>C231_MIX-AL-Separate-Medium-Full.json</t>
        </is>
      </c>
      <c r="T232" s="3" t="n">
        <v>100</v>
      </c>
      <c r="U232" s="3" t="n">
        <v>1231</v>
      </c>
      <c r="V232" s="3" t="n">
        <v>416</v>
      </c>
      <c r="W232" s="3" t="n">
        <v>196</v>
      </c>
      <c r="X232" s="3">
        <f>ROUND((T232+1)*'Read me'!$C$14/60,1)</f>
        <v/>
      </c>
      <c r="Y232" s="8" t="n"/>
      <c r="Z232" s="8" t="inlineStr">
        <is>
          <t>Not started</t>
        </is>
      </c>
      <c r="AA232" s="8" t="n"/>
      <c r="AB232" s="8" t="n"/>
      <c r="AC232" s="8" t="n"/>
      <c r="AD232" s="8" t="n"/>
      <c r="AE232" s="8" t="n"/>
      <c r="AF232" s="8" t="n"/>
      <c r="AG232" s="8" t="n"/>
      <c r="AH232" s="8" t="n"/>
      <c r="AI232" s="8" t="n"/>
      <c r="AJ232" s="8">
        <f>IF(OR(AH232="",'Submission &amp; QC'!$C$18=""),"",IF(AND(ABS(AH232-'Submission &amp; QC'!$C$18)&lt;=0.0005*ABS('Submission &amp; QC'!$C$18),ABS(AI232-'Submission &amp; QC'!$C$19)&lt;=0.0005*ABS('Submission &amp; QC'!$C$19)),"Pass","Fail"))</f>
        <v/>
      </c>
      <c r="AK232" s="8" t="n"/>
      <c r="AL232" s="8" t="n"/>
    </row>
    <row r="233" ht="255" customHeight="1">
      <c r="A233" s="3" t="inlineStr">
        <is>
          <t>C232</t>
        </is>
      </c>
      <c r="B233" s="10" t="inlineStr">
        <is>
          <t>C</t>
        </is>
      </c>
      <c r="C233" s="3" t="n">
        <v>3</v>
      </c>
      <c r="D233" s="3" t="inlineStr">
        <is>
          <t>Mixed</t>
        </is>
      </c>
      <c r="E233" s="3" t="inlineStr">
        <is>
          <t>MIX-AL-Separate-Medium-Partial</t>
        </is>
      </c>
      <c r="F233" s="3" t="inlineStr">
        <is>
          <t>Mixed: install and remove (separate budgets), medium install budget ($1-5 M), partial removal / toppling (50%; $30,000 + $600/m), Alabama (west of the Perdido River)</t>
        </is>
      </c>
      <c r="G233" s="3" t="inlineStr">
        <is>
          <t>Alabama (west of the Perdido River)</t>
        </is>
      </c>
      <c r="H233" s="3" t="n"/>
      <c r="I233" s="3" t="n"/>
      <c r="J233" s="3" t="n"/>
      <c r="K233" s="3" t="inlineStr">
        <is>
          <t>Medium: $1-5 M</t>
        </is>
      </c>
      <c r="L233" s="3" t="n"/>
      <c r="M233" s="3" t="inlineStr">
        <is>
          <t>Partial removal / toppling (50%; $30,000 + $600/m)</t>
        </is>
      </c>
      <c r="N233" s="3" t="n"/>
      <c r="O233" s="3" t="n"/>
      <c r="P233" s="3" t="inlineStr">
        <is>
          <t>No</t>
        </is>
      </c>
      <c r="Q233" s="3" t="n"/>
      <c r="R233" s="3" t="inlineStr">
        <is>
          <t>Strategy &gt; Strategy: Mixed: decommission and install
Strategy &gt; Shared budget: unticked
Installation &gt; Maximum budget per scenario (USD): 5,000,000
Installation &gt; Minimum budget per scenario (USD): 1,000,000
Installation &gt; How budgets are drawn: Uniform
Installation &gt; East lon: -87.51
Decommissioning &gt; Removal budget (USD): 5,000,000
Decommissioning &gt; Cost: Depth-based
Decommissioning &gt; Fixed cost per removal (USD, added): 30,000
Decommissioning &gt; USD per metre depth: 600
Decommissioning &gt; East lon: -87.51
Decommissioning &gt; Min removals: 1
Decommissioning &gt; Max removals: 25
Decommissioning &gt; Fraction of each structure removed: 0.5
Live solver / Search &gt; Number of scenarios to run: 100
Search &gt; Search algorithm: Random search
Search &gt; Random seed: 1,232</t>
        </is>
      </c>
      <c r="S233" s="3" t="inlineStr">
        <is>
          <t>C232_MIX-AL-Separate-Medium-Partial.json</t>
        </is>
      </c>
      <c r="T233" s="3" t="n">
        <v>100</v>
      </c>
      <c r="U233" s="3" t="n">
        <v>1232</v>
      </c>
      <c r="V233" s="3" t="n">
        <v>416</v>
      </c>
      <c r="W233" s="3" t="n">
        <v>196</v>
      </c>
      <c r="X233" s="3">
        <f>ROUND((T233+1)*'Read me'!$C$14/60,1)</f>
        <v/>
      </c>
      <c r="Y233" s="8" t="n"/>
      <c r="Z233" s="8" t="inlineStr">
        <is>
          <t>Not started</t>
        </is>
      </c>
      <c r="AA233" s="8" t="n"/>
      <c r="AB233" s="8" t="n"/>
      <c r="AC233" s="8" t="n"/>
      <c r="AD233" s="8" t="n"/>
      <c r="AE233" s="8" t="n"/>
      <c r="AF233" s="8" t="n"/>
      <c r="AG233" s="8" t="n"/>
      <c r="AH233" s="8" t="n"/>
      <c r="AI233" s="8" t="n"/>
      <c r="AJ233" s="8">
        <f>IF(OR(AH233="",'Submission &amp; QC'!$C$18=""),"",IF(AND(ABS(AH233-'Submission &amp; QC'!$C$18)&lt;=0.0005*ABS('Submission &amp; QC'!$C$18),ABS(AI233-'Submission &amp; QC'!$C$19)&lt;=0.0005*ABS('Submission &amp; QC'!$C$19)),"Pass","Fail"))</f>
        <v/>
      </c>
      <c r="AK233" s="8" t="n"/>
      <c r="AL233" s="8" t="n"/>
    </row>
    <row r="234" ht="255" customHeight="1">
      <c r="A234" s="3" t="inlineStr">
        <is>
          <t>C233</t>
        </is>
      </c>
      <c r="B234" s="10" t="inlineStr">
        <is>
          <t>C</t>
        </is>
      </c>
      <c r="C234" s="3" t="n">
        <v>3</v>
      </c>
      <c r="D234" s="3" t="inlineStr">
        <is>
          <t>Mixed</t>
        </is>
      </c>
      <c r="E234" s="3" t="inlineStr">
        <is>
          <t>MIX-AL-Separate-Large-Full</t>
        </is>
      </c>
      <c r="F234" s="3" t="inlineStr">
        <is>
          <t>Mixed: install and remove (separate budgets), large install budget ($5-15 M), full removal (100%; $50,000 + $1,000/m), Alabama (west of the Perdido River)</t>
        </is>
      </c>
      <c r="G234" s="3" t="inlineStr">
        <is>
          <t>Alabama (west of the Perdido River)</t>
        </is>
      </c>
      <c r="H234" s="3" t="n"/>
      <c r="I234" s="3" t="n"/>
      <c r="J234" s="3" t="n"/>
      <c r="K234" s="3" t="inlineStr">
        <is>
          <t>Large: $5-15 M</t>
        </is>
      </c>
      <c r="L234" s="3" t="n"/>
      <c r="M234" s="3" t="inlineStr">
        <is>
          <t>Full removal (100%; $50,000 + $1,000/m)</t>
        </is>
      </c>
      <c r="N234" s="3" t="n"/>
      <c r="O234" s="3" t="n"/>
      <c r="P234" s="3" t="inlineStr">
        <is>
          <t>No</t>
        </is>
      </c>
      <c r="Q234" s="3" t="n"/>
      <c r="R234" s="3" t="inlineStr">
        <is>
          <t>Strategy &gt; Strategy: Mixed: decommission and install
Strategy &gt; Shared budget: unticked
Installation &gt; Maximum budget per scenario (USD): 15,000,000
Installation &gt; Minimum budget per scenario (USD): 5,000,000
Installation &gt; How budgets are drawn: Uniform
Installation &gt; East lon: -87.51
Decommissioning &gt; Removal budget (USD): 5,000,000
Decommissioning &gt; Cost: Depth-based
Decommissioning &gt; Fixed cost per removal (USD, added): 50,000
Decommissioning &gt; USD per metre depth: 1,000
Decommissioning &gt; East lon: -87.51
Decommissioning &gt; Min removals: 1
Decommissioning &gt; Max removals: 25
Decommissioning &gt; Fraction of each structure removed: 1.0
Live solver / Search &gt; Number of scenarios to run: 100
Search &gt; Search algorithm: Random search
Search &gt; Random seed: 1,233</t>
        </is>
      </c>
      <c r="S234" s="3" t="inlineStr">
        <is>
          <t>C233_MIX-AL-Separate-Large-Full.json</t>
        </is>
      </c>
      <c r="T234" s="3" t="n">
        <v>100</v>
      </c>
      <c r="U234" s="3" t="n">
        <v>1233</v>
      </c>
      <c r="V234" s="3" t="n">
        <v>416</v>
      </c>
      <c r="W234" s="3" t="n">
        <v>196</v>
      </c>
      <c r="X234" s="3">
        <f>ROUND((T234+1)*'Read me'!$C$14/60,1)</f>
        <v/>
      </c>
      <c r="Y234" s="8" t="n"/>
      <c r="Z234" s="8" t="inlineStr">
        <is>
          <t>Not started</t>
        </is>
      </c>
      <c r="AA234" s="8" t="n"/>
      <c r="AB234" s="8" t="n"/>
      <c r="AC234" s="8" t="n"/>
      <c r="AD234" s="8" t="n"/>
      <c r="AE234" s="8" t="n"/>
      <c r="AF234" s="8" t="n"/>
      <c r="AG234" s="8" t="n"/>
      <c r="AH234" s="8" t="n"/>
      <c r="AI234" s="8" t="n"/>
      <c r="AJ234" s="8">
        <f>IF(OR(AH234="",'Submission &amp; QC'!$C$18=""),"",IF(AND(ABS(AH234-'Submission &amp; QC'!$C$18)&lt;=0.0005*ABS('Submission &amp; QC'!$C$18),ABS(AI234-'Submission &amp; QC'!$C$19)&lt;=0.0005*ABS('Submission &amp; QC'!$C$19)),"Pass","Fail"))</f>
        <v/>
      </c>
      <c r="AK234" s="8" t="n"/>
      <c r="AL234" s="8" t="n"/>
    </row>
    <row r="235" ht="255" customHeight="1">
      <c r="A235" s="3" t="inlineStr">
        <is>
          <t>C234</t>
        </is>
      </c>
      <c r="B235" s="10" t="inlineStr">
        <is>
          <t>C</t>
        </is>
      </c>
      <c r="C235" s="3" t="n">
        <v>3</v>
      </c>
      <c r="D235" s="3" t="inlineStr">
        <is>
          <t>Mixed</t>
        </is>
      </c>
      <c r="E235" s="3" t="inlineStr">
        <is>
          <t>MIX-AL-Separate-Large-Partial</t>
        </is>
      </c>
      <c r="F235" s="3" t="inlineStr">
        <is>
          <t>Mixed: install and remove (separate budgets), large install budget ($5-15 M), partial removal / toppling (50%; $30,000 + $600/m), Alabama (west of the Perdido River)</t>
        </is>
      </c>
      <c r="G235" s="3" t="inlineStr">
        <is>
          <t>Alabama (west of the Perdido River)</t>
        </is>
      </c>
      <c r="H235" s="3" t="n"/>
      <c r="I235" s="3" t="n"/>
      <c r="J235" s="3" t="n"/>
      <c r="K235" s="3" t="inlineStr">
        <is>
          <t>Large: $5-15 M</t>
        </is>
      </c>
      <c r="L235" s="3" t="n"/>
      <c r="M235" s="3" t="inlineStr">
        <is>
          <t>Partial removal / toppling (50%; $30,000 + $600/m)</t>
        </is>
      </c>
      <c r="N235" s="3" t="n"/>
      <c r="O235" s="3" t="n"/>
      <c r="P235" s="3" t="inlineStr">
        <is>
          <t>No</t>
        </is>
      </c>
      <c r="Q235" s="3" t="n"/>
      <c r="R235" s="3" t="inlineStr">
        <is>
          <t>Strategy &gt; Strategy: Mixed: decommission and install
Strategy &gt; Shared budget: unticked
Installation &gt; Maximum budget per scenario (USD): 15,000,000
Installation &gt; Minimum budget per scenario (USD): 5,000,000
Installation &gt; How budgets are drawn: Uniform
Installation &gt; East lon: -87.51
Decommissioning &gt; Removal budget (USD): 5,000,000
Decommissioning &gt; Cost: Depth-based
Decommissioning &gt; Fixed cost per removal (USD, added): 30,000
Decommissioning &gt; USD per metre depth: 600
Decommissioning &gt; East lon: -87.51
Decommissioning &gt; Min removals: 1
Decommissioning &gt; Max removals: 25
Decommissioning &gt; Fraction of each structure removed: 0.5
Live solver / Search &gt; Number of scenarios to run: 100
Search &gt; Search algorithm: Random search
Search &gt; Random seed: 1,234</t>
        </is>
      </c>
      <c r="S235" s="3" t="inlineStr">
        <is>
          <t>C234_MIX-AL-Separate-Large-Partial.json</t>
        </is>
      </c>
      <c r="T235" s="3" t="n">
        <v>100</v>
      </c>
      <c r="U235" s="3" t="n">
        <v>1234</v>
      </c>
      <c r="V235" s="3" t="n">
        <v>416</v>
      </c>
      <c r="W235" s="3" t="n">
        <v>196</v>
      </c>
      <c r="X235" s="3">
        <f>ROUND((T235+1)*'Read me'!$C$14/60,1)</f>
        <v/>
      </c>
      <c r="Y235" s="8" t="n"/>
      <c r="Z235" s="8" t="inlineStr">
        <is>
          <t>Not started</t>
        </is>
      </c>
      <c r="AA235" s="8" t="n"/>
      <c r="AB235" s="8" t="n"/>
      <c r="AC235" s="8" t="n"/>
      <c r="AD235" s="8" t="n"/>
      <c r="AE235" s="8" t="n"/>
      <c r="AF235" s="8" t="n"/>
      <c r="AG235" s="8" t="n"/>
      <c r="AH235" s="8" t="n"/>
      <c r="AI235" s="8" t="n"/>
      <c r="AJ235" s="8">
        <f>IF(OR(AH235="",'Submission &amp; QC'!$C$18=""),"",IF(AND(ABS(AH235-'Submission &amp; QC'!$C$18)&lt;=0.0005*ABS('Submission &amp; QC'!$C$18),ABS(AI235-'Submission &amp; QC'!$C$19)&lt;=0.0005*ABS('Submission &amp; QC'!$C$19)),"Pass","Fail"))</f>
        <v/>
      </c>
      <c r="AK235" s="8" t="n"/>
      <c r="AL235" s="8" t="n"/>
    </row>
    <row r="236" ht="255" customHeight="1">
      <c r="A236" s="3" t="inlineStr">
        <is>
          <t>C235</t>
        </is>
      </c>
      <c r="B236" s="10" t="inlineStr">
        <is>
          <t>C</t>
        </is>
      </c>
      <c r="C236" s="3" t="n">
        <v>3</v>
      </c>
      <c r="D236" s="3" t="inlineStr">
        <is>
          <t>Mixed</t>
        </is>
      </c>
      <c r="E236" s="3" t="inlineStr">
        <is>
          <t>MIX-AL-Shared-Small-Full</t>
        </is>
      </c>
      <c r="F236" s="3" t="inlineStr">
        <is>
          <t>Mixed: install and remove (one shared budget), small install budget ($0.1-1 M), full removal (100%; $50,000 + $1,000/m), Alabama (west of the Perdido River)</t>
        </is>
      </c>
      <c r="G236" s="3" t="inlineStr">
        <is>
          <t>Alabama (west of the Perdido River)</t>
        </is>
      </c>
      <c r="H236" s="3" t="n"/>
      <c r="I236" s="3" t="n"/>
      <c r="J236" s="3" t="n"/>
      <c r="K236" s="3" t="inlineStr">
        <is>
          <t>Small: $0.1-1 M</t>
        </is>
      </c>
      <c r="L236" s="3" t="n"/>
      <c r="M236" s="3" t="inlineStr">
        <is>
          <t>Full removal (100%; $50,000 + $1,000/m)</t>
        </is>
      </c>
      <c r="N236" s="3" t="n"/>
      <c r="O236" s="3" t="n"/>
      <c r="P236" s="3" t="inlineStr">
        <is>
          <t>Yes</t>
        </is>
      </c>
      <c r="Q236" s="3" t="n"/>
      <c r="R236" s="3" t="inlineStr">
        <is>
          <t>Strategy &gt; Strategy: Mixed: decommission and install
Strategy &gt; Shared budget: ticked
Installation &gt; Maximum budget per scenario (USD): 1,000,000
Installation &gt; Minimum budget per scenario (USD): 100,000
Installation &gt; How budgets are drawn: Uniform
Installation &gt; East lon: -87.51
Decommissioning &gt; Removal budget (USD): 5,000,000
Decommissioning &gt; Cost: Depth-based
Decommissioning &gt; Fixed cost per removal (USD, added): 50,000
Decommissioning &gt; USD per metre depth: 1,000
Decommissioning &gt; East lon: -87.51
Decommissioning &gt; Min removals: 1
Decommissioning &gt; Max removals: 25
Decommissioning &gt; Fraction of each structure removed: 1.0
Live solver / Search &gt; Number of scenarios to run: 100
Search &gt; Search algorithm: Random search
Search &gt; Random seed: 1,235</t>
        </is>
      </c>
      <c r="S236" s="3" t="inlineStr">
        <is>
          <t>C235_MIX-AL-Shared-Small-Full.json</t>
        </is>
      </c>
      <c r="T236" s="3" t="n">
        <v>100</v>
      </c>
      <c r="U236" s="3" t="n">
        <v>1235</v>
      </c>
      <c r="V236" s="3" t="n">
        <v>416</v>
      </c>
      <c r="W236" s="3" t="n">
        <v>196</v>
      </c>
      <c r="X236" s="3">
        <f>ROUND((T236+1)*'Read me'!$C$14/60,1)</f>
        <v/>
      </c>
      <c r="Y236" s="8" t="n"/>
      <c r="Z236" s="8" t="inlineStr">
        <is>
          <t>Not started</t>
        </is>
      </c>
      <c r="AA236" s="8" t="n"/>
      <c r="AB236" s="8" t="n"/>
      <c r="AC236" s="8" t="n"/>
      <c r="AD236" s="8" t="n"/>
      <c r="AE236" s="8" t="n"/>
      <c r="AF236" s="8" t="n"/>
      <c r="AG236" s="8" t="n"/>
      <c r="AH236" s="8" t="n"/>
      <c r="AI236" s="8" t="n"/>
      <c r="AJ236" s="8">
        <f>IF(OR(AH236="",'Submission &amp; QC'!$C$18=""),"",IF(AND(ABS(AH236-'Submission &amp; QC'!$C$18)&lt;=0.0005*ABS('Submission &amp; QC'!$C$18),ABS(AI236-'Submission &amp; QC'!$C$19)&lt;=0.0005*ABS('Submission &amp; QC'!$C$19)),"Pass","Fail"))</f>
        <v/>
      </c>
      <c r="AK236" s="8" t="n"/>
      <c r="AL236" s="8" t="n"/>
    </row>
    <row r="237" ht="255" customHeight="1">
      <c r="A237" s="3" t="inlineStr">
        <is>
          <t>C236</t>
        </is>
      </c>
      <c r="B237" s="10" t="inlineStr">
        <is>
          <t>C</t>
        </is>
      </c>
      <c r="C237" s="3" t="n">
        <v>3</v>
      </c>
      <c r="D237" s="3" t="inlineStr">
        <is>
          <t>Mixed</t>
        </is>
      </c>
      <c r="E237" s="3" t="inlineStr">
        <is>
          <t>MIX-AL-Shared-Small-Partial</t>
        </is>
      </c>
      <c r="F237" s="3" t="inlineStr">
        <is>
          <t>Mixed: install and remove (one shared budget), small install budget ($0.1-1 M), partial removal / toppling (50%; $30,000 + $600/m), Alabama (west of the Perdido River)</t>
        </is>
      </c>
      <c r="G237" s="3" t="inlineStr">
        <is>
          <t>Alabama (west of the Perdido River)</t>
        </is>
      </c>
      <c r="H237" s="3" t="n"/>
      <c r="I237" s="3" t="n"/>
      <c r="J237" s="3" t="n"/>
      <c r="K237" s="3" t="inlineStr">
        <is>
          <t>Small: $0.1-1 M</t>
        </is>
      </c>
      <c r="L237" s="3" t="n"/>
      <c r="M237" s="3" t="inlineStr">
        <is>
          <t>Partial removal / toppling (50%; $30,000 + $600/m)</t>
        </is>
      </c>
      <c r="N237" s="3" t="n"/>
      <c r="O237" s="3" t="n"/>
      <c r="P237" s="3" t="inlineStr">
        <is>
          <t>Yes</t>
        </is>
      </c>
      <c r="Q237" s="3" t="n"/>
      <c r="R237" s="3" t="inlineStr">
        <is>
          <t>Strategy &gt; Strategy: Mixed: decommission and install
Strategy &gt; Shared budget: ticked
Installation &gt; Maximum budget per scenario (USD): 1,000,000
Installation &gt; Minimum budget per scenario (USD): 100,000
Installation &gt; How budgets are drawn: Uniform
Installation &gt; East lon: -87.51
Decommissioning &gt; Removal budget (USD): 5,000,000
Decommissioning &gt; Cost: Depth-based
Decommissioning &gt; Fixed cost per removal (USD, added): 30,000
Decommissioning &gt; USD per metre depth: 600
Decommissioning &gt; East lon: -87.51
Decommissioning &gt; Min removals: 1
Decommissioning &gt; Max removals: 25
Decommissioning &gt; Fraction of each structure removed: 0.5
Live solver / Search &gt; Number of scenarios to run: 100
Search &gt; Search algorithm: Random search
Search &gt; Random seed: 1,236</t>
        </is>
      </c>
      <c r="S237" s="3" t="inlineStr">
        <is>
          <t>C236_MIX-AL-Shared-Small-Partial.json</t>
        </is>
      </c>
      <c r="T237" s="3" t="n">
        <v>100</v>
      </c>
      <c r="U237" s="3" t="n">
        <v>1236</v>
      </c>
      <c r="V237" s="3" t="n">
        <v>416</v>
      </c>
      <c r="W237" s="3" t="n">
        <v>196</v>
      </c>
      <c r="X237" s="3">
        <f>ROUND((T237+1)*'Read me'!$C$14/60,1)</f>
        <v/>
      </c>
      <c r="Y237" s="8" t="n"/>
      <c r="Z237" s="8" t="inlineStr">
        <is>
          <t>Not started</t>
        </is>
      </c>
      <c r="AA237" s="8" t="n"/>
      <c r="AB237" s="8" t="n"/>
      <c r="AC237" s="8" t="n"/>
      <c r="AD237" s="8" t="n"/>
      <c r="AE237" s="8" t="n"/>
      <c r="AF237" s="8" t="n"/>
      <c r="AG237" s="8" t="n"/>
      <c r="AH237" s="8" t="n"/>
      <c r="AI237" s="8" t="n"/>
      <c r="AJ237" s="8">
        <f>IF(OR(AH237="",'Submission &amp; QC'!$C$18=""),"",IF(AND(ABS(AH237-'Submission &amp; QC'!$C$18)&lt;=0.0005*ABS('Submission &amp; QC'!$C$18),ABS(AI237-'Submission &amp; QC'!$C$19)&lt;=0.0005*ABS('Submission &amp; QC'!$C$19)),"Pass","Fail"))</f>
        <v/>
      </c>
      <c r="AK237" s="8" t="n"/>
      <c r="AL237" s="8" t="n"/>
    </row>
    <row r="238" ht="255" customHeight="1">
      <c r="A238" s="3" t="inlineStr">
        <is>
          <t>C237</t>
        </is>
      </c>
      <c r="B238" s="10" t="inlineStr">
        <is>
          <t>C</t>
        </is>
      </c>
      <c r="C238" s="3" t="n">
        <v>3</v>
      </c>
      <c r="D238" s="3" t="inlineStr">
        <is>
          <t>Mixed</t>
        </is>
      </c>
      <c r="E238" s="3" t="inlineStr">
        <is>
          <t>MIX-AL-Shared-Medium-Full</t>
        </is>
      </c>
      <c r="F238" s="3" t="inlineStr">
        <is>
          <t>Mixed: install and remove (one shared budget), medium install budget ($1-5 M), full removal (100%; $50,000 + $1,000/m), Alabama (west of the Perdido River)</t>
        </is>
      </c>
      <c r="G238" s="3" t="inlineStr">
        <is>
          <t>Alabama (west of the Perdido River)</t>
        </is>
      </c>
      <c r="H238" s="3" t="n"/>
      <c r="I238" s="3" t="n"/>
      <c r="J238" s="3" t="n"/>
      <c r="K238" s="3" t="inlineStr">
        <is>
          <t>Medium: $1-5 M</t>
        </is>
      </c>
      <c r="L238" s="3" t="n"/>
      <c r="M238" s="3" t="inlineStr">
        <is>
          <t>Full removal (100%; $50,000 + $1,000/m)</t>
        </is>
      </c>
      <c r="N238" s="3" t="n"/>
      <c r="O238" s="3" t="n"/>
      <c r="P238" s="3" t="inlineStr">
        <is>
          <t>Yes</t>
        </is>
      </c>
      <c r="Q238" s="3" t="n"/>
      <c r="R238" s="3" t="inlineStr">
        <is>
          <t>Strategy &gt; Strategy: Mixed: decommission and install
Strategy &gt; Shared budget: ticked
Installation &gt; Maximum budget per scenario (USD): 5,000,000
Installation &gt; Minimum budget per scenario (USD): 1,000,000
Installation &gt; How budgets are drawn: Uniform
Installation &gt; East lon: -87.51
Decommissioning &gt; Removal budget (USD): 5,000,000
Decommissioning &gt; Cost: Depth-based
Decommissioning &gt; Fixed cost per removal (USD, added): 50,000
Decommissioning &gt; USD per metre depth: 1,000
Decommissioning &gt; East lon: -87.51
Decommissioning &gt; Min removals: 1
Decommissioning &gt; Max removals: 25
Decommissioning &gt; Fraction of each structure removed: 1.0
Live solver / Search &gt; Number of scenarios to run: 100
Search &gt; Search algorithm: Random search
Search &gt; Random seed: 1,237</t>
        </is>
      </c>
      <c r="S238" s="3" t="inlineStr">
        <is>
          <t>C237_MIX-AL-Shared-Medium-Full.json</t>
        </is>
      </c>
      <c r="T238" s="3" t="n">
        <v>100</v>
      </c>
      <c r="U238" s="3" t="n">
        <v>1237</v>
      </c>
      <c r="V238" s="3" t="n">
        <v>416</v>
      </c>
      <c r="W238" s="3" t="n">
        <v>196</v>
      </c>
      <c r="X238" s="3">
        <f>ROUND((T238+1)*'Read me'!$C$14/60,1)</f>
        <v/>
      </c>
      <c r="Y238" s="8" t="n"/>
      <c r="Z238" s="8" t="inlineStr">
        <is>
          <t>Not started</t>
        </is>
      </c>
      <c r="AA238" s="8" t="n"/>
      <c r="AB238" s="8" t="n"/>
      <c r="AC238" s="8" t="n"/>
      <c r="AD238" s="8" t="n"/>
      <c r="AE238" s="8" t="n"/>
      <c r="AF238" s="8" t="n"/>
      <c r="AG238" s="8" t="n"/>
      <c r="AH238" s="8" t="n"/>
      <c r="AI238" s="8" t="n"/>
      <c r="AJ238" s="8">
        <f>IF(OR(AH238="",'Submission &amp; QC'!$C$18=""),"",IF(AND(ABS(AH238-'Submission &amp; QC'!$C$18)&lt;=0.0005*ABS('Submission &amp; QC'!$C$18),ABS(AI238-'Submission &amp; QC'!$C$19)&lt;=0.0005*ABS('Submission &amp; QC'!$C$19)),"Pass","Fail"))</f>
        <v/>
      </c>
      <c r="AK238" s="8" t="n"/>
      <c r="AL238" s="8" t="n"/>
    </row>
    <row r="239" ht="255" customHeight="1">
      <c r="A239" s="3" t="inlineStr">
        <is>
          <t>C238</t>
        </is>
      </c>
      <c r="B239" s="10" t="inlineStr">
        <is>
          <t>C</t>
        </is>
      </c>
      <c r="C239" s="3" t="n">
        <v>3</v>
      </c>
      <c r="D239" s="3" t="inlineStr">
        <is>
          <t>Mixed</t>
        </is>
      </c>
      <c r="E239" s="3" t="inlineStr">
        <is>
          <t>MIX-AL-Shared-Medium-Partial</t>
        </is>
      </c>
      <c r="F239" s="3" t="inlineStr">
        <is>
          <t>Mixed: install and remove (one shared budget), medium install budget ($1-5 M), partial removal / toppling (50%; $30,000 + $600/m), Alabama (west of the Perdido River)</t>
        </is>
      </c>
      <c r="G239" s="3" t="inlineStr">
        <is>
          <t>Alabama (west of the Perdido River)</t>
        </is>
      </c>
      <c r="H239" s="3" t="n"/>
      <c r="I239" s="3" t="n"/>
      <c r="J239" s="3" t="n"/>
      <c r="K239" s="3" t="inlineStr">
        <is>
          <t>Medium: $1-5 M</t>
        </is>
      </c>
      <c r="L239" s="3" t="n"/>
      <c r="M239" s="3" t="inlineStr">
        <is>
          <t>Partial removal / toppling (50%; $30,000 + $600/m)</t>
        </is>
      </c>
      <c r="N239" s="3" t="n"/>
      <c r="O239" s="3" t="n"/>
      <c r="P239" s="3" t="inlineStr">
        <is>
          <t>Yes</t>
        </is>
      </c>
      <c r="Q239" s="3" t="n"/>
      <c r="R239" s="3" t="inlineStr">
        <is>
          <t>Strategy &gt; Strategy: Mixed: decommission and install
Strategy &gt; Shared budget: ticked
Installation &gt; Maximum budget per scenario (USD): 5,000,000
Installation &gt; Minimum budget per scenario (USD): 1,000,000
Installation &gt; How budgets are drawn: Uniform
Installation &gt; East lon: -87.51
Decommissioning &gt; Removal budget (USD): 5,000,000
Decommissioning &gt; Cost: Depth-based
Decommissioning &gt; Fixed cost per removal (USD, added): 30,000
Decommissioning &gt; USD per metre depth: 600
Decommissioning &gt; East lon: -87.51
Decommissioning &gt; Min removals: 1
Decommissioning &gt; Max removals: 25
Decommissioning &gt; Fraction of each structure removed: 0.5
Live solver / Search &gt; Number of scenarios to run: 100
Search &gt; Search algorithm: Random search
Search &gt; Random seed: 1,238</t>
        </is>
      </c>
      <c r="S239" s="3" t="inlineStr">
        <is>
          <t>C238_MIX-AL-Shared-Medium-Partial.json</t>
        </is>
      </c>
      <c r="T239" s="3" t="n">
        <v>100</v>
      </c>
      <c r="U239" s="3" t="n">
        <v>1238</v>
      </c>
      <c r="V239" s="3" t="n">
        <v>416</v>
      </c>
      <c r="W239" s="3" t="n">
        <v>196</v>
      </c>
      <c r="X239" s="3">
        <f>ROUND((T239+1)*'Read me'!$C$14/60,1)</f>
        <v/>
      </c>
      <c r="Y239" s="8" t="n"/>
      <c r="Z239" s="8" t="inlineStr">
        <is>
          <t>Not started</t>
        </is>
      </c>
      <c r="AA239" s="8" t="n"/>
      <c r="AB239" s="8" t="n"/>
      <c r="AC239" s="8" t="n"/>
      <c r="AD239" s="8" t="n"/>
      <c r="AE239" s="8" t="n"/>
      <c r="AF239" s="8" t="n"/>
      <c r="AG239" s="8" t="n"/>
      <c r="AH239" s="8" t="n"/>
      <c r="AI239" s="8" t="n"/>
      <c r="AJ239" s="8">
        <f>IF(OR(AH239="",'Submission &amp; QC'!$C$18=""),"",IF(AND(ABS(AH239-'Submission &amp; QC'!$C$18)&lt;=0.0005*ABS('Submission &amp; QC'!$C$18),ABS(AI239-'Submission &amp; QC'!$C$19)&lt;=0.0005*ABS('Submission &amp; QC'!$C$19)),"Pass","Fail"))</f>
        <v/>
      </c>
      <c r="AK239" s="8" t="n"/>
      <c r="AL239" s="8" t="n"/>
    </row>
    <row r="240" ht="255" customHeight="1">
      <c r="A240" s="3" t="inlineStr">
        <is>
          <t>C239</t>
        </is>
      </c>
      <c r="B240" s="10" t="inlineStr">
        <is>
          <t>C</t>
        </is>
      </c>
      <c r="C240" s="3" t="n">
        <v>3</v>
      </c>
      <c r="D240" s="3" t="inlineStr">
        <is>
          <t>Mixed</t>
        </is>
      </c>
      <c r="E240" s="3" t="inlineStr">
        <is>
          <t>MIX-AL-Shared-Large-Full</t>
        </is>
      </c>
      <c r="F240" s="3" t="inlineStr">
        <is>
          <t>Mixed: install and remove (one shared budget), large install budget ($5-15 M), full removal (100%; $50,000 + $1,000/m), Alabama (west of the Perdido River)</t>
        </is>
      </c>
      <c r="G240" s="3" t="inlineStr">
        <is>
          <t>Alabama (west of the Perdido River)</t>
        </is>
      </c>
      <c r="H240" s="3" t="n"/>
      <c r="I240" s="3" t="n"/>
      <c r="J240" s="3" t="n"/>
      <c r="K240" s="3" t="inlineStr">
        <is>
          <t>Large: $5-15 M</t>
        </is>
      </c>
      <c r="L240" s="3" t="n"/>
      <c r="M240" s="3" t="inlineStr">
        <is>
          <t>Full removal (100%; $50,000 + $1,000/m)</t>
        </is>
      </c>
      <c r="N240" s="3" t="n"/>
      <c r="O240" s="3" t="n"/>
      <c r="P240" s="3" t="inlineStr">
        <is>
          <t>Yes</t>
        </is>
      </c>
      <c r="Q240" s="3" t="n"/>
      <c r="R240" s="3" t="inlineStr">
        <is>
          <t>Strategy &gt; Strategy: Mixed: decommission and install
Strategy &gt; Shared budget: ticked
Installation &gt; Maximum budget per scenario (USD): 15,000,000
Installation &gt; Minimum budget per scenario (USD): 5,000,000
Installation &gt; How budgets are drawn: Uniform
Installation &gt; East lon: -87.51
Decommissioning &gt; Removal budget (USD): 5,000,000
Decommissioning &gt; Cost: Depth-based
Decommissioning &gt; Fixed cost per removal (USD, added): 50,000
Decommissioning &gt; USD per metre depth: 1,000
Decommissioning &gt; East lon: -87.51
Decommissioning &gt; Min removals: 1
Decommissioning &gt; Max removals: 25
Decommissioning &gt; Fraction of each structure removed: 1.0
Live solver / Search &gt; Number of scenarios to run: 100
Search &gt; Search algorithm: Random search
Search &gt; Random seed: 1,239</t>
        </is>
      </c>
      <c r="S240" s="3" t="inlineStr">
        <is>
          <t>C239_MIX-AL-Shared-Large-Full.json</t>
        </is>
      </c>
      <c r="T240" s="3" t="n">
        <v>100</v>
      </c>
      <c r="U240" s="3" t="n">
        <v>1239</v>
      </c>
      <c r="V240" s="3" t="n">
        <v>416</v>
      </c>
      <c r="W240" s="3" t="n">
        <v>196</v>
      </c>
      <c r="X240" s="3">
        <f>ROUND((T240+1)*'Read me'!$C$14/60,1)</f>
        <v/>
      </c>
      <c r="Y240" s="8" t="n"/>
      <c r="Z240" s="8" t="inlineStr">
        <is>
          <t>Not started</t>
        </is>
      </c>
      <c r="AA240" s="8" t="n"/>
      <c r="AB240" s="8" t="n"/>
      <c r="AC240" s="8" t="n"/>
      <c r="AD240" s="8" t="n"/>
      <c r="AE240" s="8" t="n"/>
      <c r="AF240" s="8" t="n"/>
      <c r="AG240" s="8" t="n"/>
      <c r="AH240" s="8" t="n"/>
      <c r="AI240" s="8" t="n"/>
      <c r="AJ240" s="8">
        <f>IF(OR(AH240="",'Submission &amp; QC'!$C$18=""),"",IF(AND(ABS(AH240-'Submission &amp; QC'!$C$18)&lt;=0.0005*ABS('Submission &amp; QC'!$C$18),ABS(AI240-'Submission &amp; QC'!$C$19)&lt;=0.0005*ABS('Submission &amp; QC'!$C$19)),"Pass","Fail"))</f>
        <v/>
      </c>
      <c r="AK240" s="8" t="n"/>
      <c r="AL240" s="8" t="n"/>
    </row>
    <row r="241" ht="255" customHeight="1">
      <c r="A241" s="3" t="inlineStr">
        <is>
          <t>C240</t>
        </is>
      </c>
      <c r="B241" s="10" t="inlineStr">
        <is>
          <t>C</t>
        </is>
      </c>
      <c r="C241" s="3" t="n">
        <v>3</v>
      </c>
      <c r="D241" s="3" t="inlineStr">
        <is>
          <t>Mixed</t>
        </is>
      </c>
      <c r="E241" s="3" t="inlineStr">
        <is>
          <t>MIX-AL-Shared-Large-Partial</t>
        </is>
      </c>
      <c r="F241" s="3" t="inlineStr">
        <is>
          <t>Mixed: install and remove (one shared budget), large install budget ($5-15 M), partial removal / toppling (50%; $30,000 + $600/m), Alabama (west of the Perdido River)</t>
        </is>
      </c>
      <c r="G241" s="3" t="inlineStr">
        <is>
          <t>Alabama (west of the Perdido River)</t>
        </is>
      </c>
      <c r="H241" s="3" t="n"/>
      <c r="I241" s="3" t="n"/>
      <c r="J241" s="3" t="n"/>
      <c r="K241" s="3" t="inlineStr">
        <is>
          <t>Large: $5-15 M</t>
        </is>
      </c>
      <c r="L241" s="3" t="n"/>
      <c r="M241" s="3" t="inlineStr">
        <is>
          <t>Partial removal / toppling (50%; $30,000 + $600/m)</t>
        </is>
      </c>
      <c r="N241" s="3" t="n"/>
      <c r="O241" s="3" t="n"/>
      <c r="P241" s="3" t="inlineStr">
        <is>
          <t>Yes</t>
        </is>
      </c>
      <c r="Q241" s="3" t="n"/>
      <c r="R241" s="3" t="inlineStr">
        <is>
          <t>Strategy &gt; Strategy: Mixed: decommission and install
Strategy &gt; Shared budget: ticked
Installation &gt; Maximum budget per scenario (USD): 15,000,000
Installation &gt; Minimum budget per scenario (USD): 5,000,000
Installation &gt; How budgets are drawn: Uniform
Installation &gt; East lon: -87.51
Decommissioning &gt; Removal budget (USD): 5,000,000
Decommissioning &gt; Cost: Depth-based
Decommissioning &gt; Fixed cost per removal (USD, added): 30,000
Decommissioning &gt; USD per metre depth: 600
Decommissioning &gt; East lon: -87.51
Decommissioning &gt; Min removals: 1
Decommissioning &gt; Max removals: 25
Decommissioning &gt; Fraction of each structure removed: 0.5
Live solver / Search &gt; Number of scenarios to run: 100
Search &gt; Search algorithm: Random search
Search &gt; Random seed: 1,240</t>
        </is>
      </c>
      <c r="S241" s="3" t="inlineStr">
        <is>
          <t>C240_MIX-AL-Shared-Large-Partial.json</t>
        </is>
      </c>
      <c r="T241" s="3" t="n">
        <v>100</v>
      </c>
      <c r="U241" s="3" t="n">
        <v>1240</v>
      </c>
      <c r="V241" s="3" t="n">
        <v>416</v>
      </c>
      <c r="W241" s="3" t="n">
        <v>196</v>
      </c>
      <c r="X241" s="3">
        <f>ROUND((T241+1)*'Read me'!$C$14/60,1)</f>
        <v/>
      </c>
      <c r="Y241" s="8" t="n"/>
      <c r="Z241" s="8" t="inlineStr">
        <is>
          <t>Not started</t>
        </is>
      </c>
      <c r="AA241" s="8" t="n"/>
      <c r="AB241" s="8" t="n"/>
      <c r="AC241" s="8" t="n"/>
      <c r="AD241" s="8" t="n"/>
      <c r="AE241" s="8" t="n"/>
      <c r="AF241" s="8" t="n"/>
      <c r="AG241" s="8" t="n"/>
      <c r="AH241" s="8" t="n"/>
      <c r="AI241" s="8" t="n"/>
      <c r="AJ241" s="8">
        <f>IF(OR(AH241="",'Submission &amp; QC'!$C$18=""),"",IF(AND(ABS(AH241-'Submission &amp; QC'!$C$18)&lt;=0.0005*ABS('Submission &amp; QC'!$C$18),ABS(AI241-'Submission &amp; QC'!$C$19)&lt;=0.0005*ABS('Submission &amp; QC'!$C$19)),"Pass","Fail"))</f>
        <v/>
      </c>
      <c r="AK241" s="8" t="n"/>
      <c r="AL241" s="8" t="n"/>
    </row>
    <row r="242" ht="255" customHeight="1">
      <c r="A242" s="3" t="inlineStr">
        <is>
          <t>C241</t>
        </is>
      </c>
      <c r="B242" s="10" t="inlineStr">
        <is>
          <t>C</t>
        </is>
      </c>
      <c r="C242" s="3" t="n">
        <v>3</v>
      </c>
      <c r="D242" s="3" t="inlineStr">
        <is>
          <t>Mixed</t>
        </is>
      </c>
      <c r="E242" s="3" t="inlineStr">
        <is>
          <t>MIX-FL-Separate-Small-Full</t>
        </is>
      </c>
      <c r="F242" s="3" t="inlineStr">
        <is>
          <t>Mixed: install and remove (separate budgets), small install budget ($0.1-1 M), full removal (100%; $50,000 + $1,000/m), Florida panhandle (east of the Perdido River)</t>
        </is>
      </c>
      <c r="G242" s="3" t="inlineStr">
        <is>
          <t>Florida panhandle (east of the Perdido River)</t>
        </is>
      </c>
      <c r="H242" s="3" t="n"/>
      <c r="I242" s="3" t="n"/>
      <c r="J242" s="3" t="n"/>
      <c r="K242" s="3" t="inlineStr">
        <is>
          <t>Small: $0.1-1 M</t>
        </is>
      </c>
      <c r="L242" s="3" t="n"/>
      <c r="M242" s="3" t="inlineStr">
        <is>
          <t>Full removal (100%; $50,000 + $1,000/m)</t>
        </is>
      </c>
      <c r="N242" s="3" t="n"/>
      <c r="O242" s="3" t="n"/>
      <c r="P242" s="3" t="inlineStr">
        <is>
          <t>No</t>
        </is>
      </c>
      <c r="Q242" s="3" t="n"/>
      <c r="R242" s="3" t="inlineStr">
        <is>
          <t>Strategy &gt; Strategy: Mixed: decommission and install
Strategy &gt; Shared budget: unticked
Installation &gt; Maximum budget per scenario (USD): 1,000,000
Installation &gt; Minimum budget per scenario (USD): 100,000
Installation &gt; How budgets are drawn: Uniform
Installation &gt; West lon: -87.51
Decommissioning &gt; Removal budget (USD): 5,000,000
Decommissioning &gt; Cost: Depth-based
Decommissioning &gt; Fixed cost per removal (USD, added): 50,000
Decommissioning &gt; USD per metre depth: 1,000
Decommissioning &gt; West lon: -87.51
Decommissioning &gt; Min removals: 1
Decommissioning &gt; Max removals: 25
Decommissioning &gt; Fraction of each structure removed: 1.0
Live solver / Search &gt; Number of scenarios to run: 100
Search &gt; Search algorithm: Random search
Search &gt; Random seed: 1,241</t>
        </is>
      </c>
      <c r="S242" s="3" t="inlineStr">
        <is>
          <t>C241_MIX-FL-Separate-Small-Full.json</t>
        </is>
      </c>
      <c r="T242" s="3" t="n">
        <v>100</v>
      </c>
      <c r="U242" s="3" t="n">
        <v>1241</v>
      </c>
      <c r="V242" s="3" t="n">
        <v>572</v>
      </c>
      <c r="W242" s="3" t="n">
        <v>118</v>
      </c>
      <c r="X242" s="3">
        <f>ROUND((T242+1)*'Read me'!$C$14/60,1)</f>
        <v/>
      </c>
      <c r="Y242" s="8" t="n"/>
      <c r="Z242" s="8" t="inlineStr">
        <is>
          <t>Not started</t>
        </is>
      </c>
      <c r="AA242" s="8" t="n"/>
      <c r="AB242" s="8" t="n"/>
      <c r="AC242" s="8" t="n"/>
      <c r="AD242" s="8" t="n"/>
      <c r="AE242" s="8" t="n"/>
      <c r="AF242" s="8" t="n"/>
      <c r="AG242" s="8" t="n"/>
      <c r="AH242" s="8" t="n"/>
      <c r="AI242" s="8" t="n"/>
      <c r="AJ242" s="8">
        <f>IF(OR(AH242="",'Submission &amp; QC'!$C$18=""),"",IF(AND(ABS(AH242-'Submission &amp; QC'!$C$18)&lt;=0.0005*ABS('Submission &amp; QC'!$C$18),ABS(AI242-'Submission &amp; QC'!$C$19)&lt;=0.0005*ABS('Submission &amp; QC'!$C$19)),"Pass","Fail"))</f>
        <v/>
      </c>
      <c r="AK242" s="8" t="n"/>
      <c r="AL242" s="8" t="n"/>
    </row>
    <row r="243" ht="255" customHeight="1">
      <c r="A243" s="3" t="inlineStr">
        <is>
          <t>C242</t>
        </is>
      </c>
      <c r="B243" s="10" t="inlineStr">
        <is>
          <t>C</t>
        </is>
      </c>
      <c r="C243" s="3" t="n">
        <v>3</v>
      </c>
      <c r="D243" s="3" t="inlineStr">
        <is>
          <t>Mixed</t>
        </is>
      </c>
      <c r="E243" s="3" t="inlineStr">
        <is>
          <t>MIX-FL-Separate-Small-Partial</t>
        </is>
      </c>
      <c r="F243" s="3" t="inlineStr">
        <is>
          <t>Mixed: install and remove (separate budgets), small install budget ($0.1-1 M), partial removal / toppling (50%; $30,000 + $600/m), Florida panhandle (east of the Perdido River)</t>
        </is>
      </c>
      <c r="G243" s="3" t="inlineStr">
        <is>
          <t>Florida panhandle (east of the Perdido River)</t>
        </is>
      </c>
      <c r="H243" s="3" t="n"/>
      <c r="I243" s="3" t="n"/>
      <c r="J243" s="3" t="n"/>
      <c r="K243" s="3" t="inlineStr">
        <is>
          <t>Small: $0.1-1 M</t>
        </is>
      </c>
      <c r="L243" s="3" t="n"/>
      <c r="M243" s="3" t="inlineStr">
        <is>
          <t>Partial removal / toppling (50%; $30,000 + $600/m)</t>
        </is>
      </c>
      <c r="N243" s="3" t="n"/>
      <c r="O243" s="3" t="n"/>
      <c r="P243" s="3" t="inlineStr">
        <is>
          <t>No</t>
        </is>
      </c>
      <c r="Q243" s="3" t="n"/>
      <c r="R243" s="3" t="inlineStr">
        <is>
          <t>Strategy &gt; Strategy: Mixed: decommission and install
Strategy &gt; Shared budget: unticked
Installation &gt; Maximum budget per scenario (USD): 1,000,000
Installation &gt; Minimum budget per scenario (USD): 100,000
Installation &gt; How budgets are drawn: Uniform
Installation &gt; West lon: -87.51
Decommissioning &gt; Removal budget (USD): 5,000,000
Decommissioning &gt; Cost: Depth-based
Decommissioning &gt; Fixed cost per removal (USD, added): 30,000
Decommissioning &gt; USD per metre depth: 600
Decommissioning &gt; West lon: -87.51
Decommissioning &gt; Min removals: 1
Decommissioning &gt; Max removals: 25
Decommissioning &gt; Fraction of each structure removed: 0.5
Live solver / Search &gt; Number of scenarios to run: 100
Search &gt; Search algorithm: Random search
Search &gt; Random seed: 1,242</t>
        </is>
      </c>
      <c r="S243" s="3" t="inlineStr">
        <is>
          <t>C242_MIX-FL-Separate-Small-Partial.json</t>
        </is>
      </c>
      <c r="T243" s="3" t="n">
        <v>100</v>
      </c>
      <c r="U243" s="3" t="n">
        <v>1242</v>
      </c>
      <c r="V243" s="3" t="n">
        <v>572</v>
      </c>
      <c r="W243" s="3" t="n">
        <v>118</v>
      </c>
      <c r="X243" s="3">
        <f>ROUND((T243+1)*'Read me'!$C$14/60,1)</f>
        <v/>
      </c>
      <c r="Y243" s="8" t="n"/>
      <c r="Z243" s="8" t="inlineStr">
        <is>
          <t>Not started</t>
        </is>
      </c>
      <c r="AA243" s="8" t="n"/>
      <c r="AB243" s="8" t="n"/>
      <c r="AC243" s="8" t="n"/>
      <c r="AD243" s="8" t="n"/>
      <c r="AE243" s="8" t="n"/>
      <c r="AF243" s="8" t="n"/>
      <c r="AG243" s="8" t="n"/>
      <c r="AH243" s="8" t="n"/>
      <c r="AI243" s="8" t="n"/>
      <c r="AJ243" s="8">
        <f>IF(OR(AH243="",'Submission &amp; QC'!$C$18=""),"",IF(AND(ABS(AH243-'Submission &amp; QC'!$C$18)&lt;=0.0005*ABS('Submission &amp; QC'!$C$18),ABS(AI243-'Submission &amp; QC'!$C$19)&lt;=0.0005*ABS('Submission &amp; QC'!$C$19)),"Pass","Fail"))</f>
        <v/>
      </c>
      <c r="AK243" s="8" t="n"/>
      <c r="AL243" s="8" t="n"/>
    </row>
    <row r="244" ht="255" customHeight="1">
      <c r="A244" s="3" t="inlineStr">
        <is>
          <t>C243</t>
        </is>
      </c>
      <c r="B244" s="10" t="inlineStr">
        <is>
          <t>C</t>
        </is>
      </c>
      <c r="C244" s="3" t="n">
        <v>3</v>
      </c>
      <c r="D244" s="3" t="inlineStr">
        <is>
          <t>Mixed</t>
        </is>
      </c>
      <c r="E244" s="3" t="inlineStr">
        <is>
          <t>MIX-FL-Separate-Medium-Full</t>
        </is>
      </c>
      <c r="F244" s="3" t="inlineStr">
        <is>
          <t>Mixed: install and remove (separate budgets), medium install budget ($1-5 M), full removal (100%; $50,000 + $1,000/m), Florida panhandle (east of the Perdido River)</t>
        </is>
      </c>
      <c r="G244" s="3" t="inlineStr">
        <is>
          <t>Florida panhandle (east of the Perdido River)</t>
        </is>
      </c>
      <c r="H244" s="3" t="n"/>
      <c r="I244" s="3" t="n"/>
      <c r="J244" s="3" t="n"/>
      <c r="K244" s="3" t="inlineStr">
        <is>
          <t>Medium: $1-5 M</t>
        </is>
      </c>
      <c r="L244" s="3" t="n"/>
      <c r="M244" s="3" t="inlineStr">
        <is>
          <t>Full removal (100%; $50,000 + $1,000/m)</t>
        </is>
      </c>
      <c r="N244" s="3" t="n"/>
      <c r="O244" s="3" t="n"/>
      <c r="P244" s="3" t="inlineStr">
        <is>
          <t>No</t>
        </is>
      </c>
      <c r="Q244" s="3" t="n"/>
      <c r="R244" s="3" t="inlineStr">
        <is>
          <t>Strategy &gt; Strategy: Mixed: decommission and install
Strategy &gt; Shared budget: unticked
Installation &gt; Maximum budget per scenario (USD): 5,000,000
Installation &gt; Minimum budget per scenario (USD): 1,000,000
Installation &gt; How budgets are drawn: Uniform
Installation &gt; West lon: -87.51
Decommissioning &gt; Removal budget (USD): 5,000,000
Decommissioning &gt; Cost: Depth-based
Decommissioning &gt; Fixed cost per removal (USD, added): 50,000
Decommissioning &gt; USD per metre depth: 1,000
Decommissioning &gt; West lon: -87.51
Decommissioning &gt; Min removals: 1
Decommissioning &gt; Max removals: 25
Decommissioning &gt; Fraction of each structure removed: 1.0
Live solver / Search &gt; Number of scenarios to run: 100
Search &gt; Search algorithm: Random search
Search &gt; Random seed: 1,243</t>
        </is>
      </c>
      <c r="S244" s="3" t="inlineStr">
        <is>
          <t>C243_MIX-FL-Separate-Medium-Full.json</t>
        </is>
      </c>
      <c r="T244" s="3" t="n">
        <v>100</v>
      </c>
      <c r="U244" s="3" t="n">
        <v>1243</v>
      </c>
      <c r="V244" s="3" t="n">
        <v>572</v>
      </c>
      <c r="W244" s="3" t="n">
        <v>118</v>
      </c>
      <c r="X244" s="3">
        <f>ROUND((T244+1)*'Read me'!$C$14/60,1)</f>
        <v/>
      </c>
      <c r="Y244" s="8" t="n"/>
      <c r="Z244" s="8" t="inlineStr">
        <is>
          <t>Not started</t>
        </is>
      </c>
      <c r="AA244" s="8" t="n"/>
      <c r="AB244" s="8" t="n"/>
      <c r="AC244" s="8" t="n"/>
      <c r="AD244" s="8" t="n"/>
      <c r="AE244" s="8" t="n"/>
      <c r="AF244" s="8" t="n"/>
      <c r="AG244" s="8" t="n"/>
      <c r="AH244" s="8" t="n"/>
      <c r="AI244" s="8" t="n"/>
      <c r="AJ244" s="8">
        <f>IF(OR(AH244="",'Submission &amp; QC'!$C$18=""),"",IF(AND(ABS(AH244-'Submission &amp; QC'!$C$18)&lt;=0.0005*ABS('Submission &amp; QC'!$C$18),ABS(AI244-'Submission &amp; QC'!$C$19)&lt;=0.0005*ABS('Submission &amp; QC'!$C$19)),"Pass","Fail"))</f>
        <v/>
      </c>
      <c r="AK244" s="8" t="n"/>
      <c r="AL244" s="8" t="n"/>
    </row>
    <row r="245" ht="255" customHeight="1">
      <c r="A245" s="3" t="inlineStr">
        <is>
          <t>C244</t>
        </is>
      </c>
      <c r="B245" s="10" t="inlineStr">
        <is>
          <t>C</t>
        </is>
      </c>
      <c r="C245" s="3" t="n">
        <v>3</v>
      </c>
      <c r="D245" s="3" t="inlineStr">
        <is>
          <t>Mixed</t>
        </is>
      </c>
      <c r="E245" s="3" t="inlineStr">
        <is>
          <t>MIX-FL-Separate-Medium-Partial</t>
        </is>
      </c>
      <c r="F245" s="3" t="inlineStr">
        <is>
          <t>Mixed: install and remove (separate budgets), medium install budget ($1-5 M), partial removal / toppling (50%; $30,000 + $600/m), Florida panhandle (east of the Perdido River)</t>
        </is>
      </c>
      <c r="G245" s="3" t="inlineStr">
        <is>
          <t>Florida panhandle (east of the Perdido River)</t>
        </is>
      </c>
      <c r="H245" s="3" t="n"/>
      <c r="I245" s="3" t="n"/>
      <c r="J245" s="3" t="n"/>
      <c r="K245" s="3" t="inlineStr">
        <is>
          <t>Medium: $1-5 M</t>
        </is>
      </c>
      <c r="L245" s="3" t="n"/>
      <c r="M245" s="3" t="inlineStr">
        <is>
          <t>Partial removal / toppling (50%; $30,000 + $600/m)</t>
        </is>
      </c>
      <c r="N245" s="3" t="n"/>
      <c r="O245" s="3" t="n"/>
      <c r="P245" s="3" t="inlineStr">
        <is>
          <t>No</t>
        </is>
      </c>
      <c r="Q245" s="3" t="n"/>
      <c r="R245" s="3" t="inlineStr">
        <is>
          <t>Strategy &gt; Strategy: Mixed: decommission and install
Strategy &gt; Shared budget: unticked
Installation &gt; Maximum budget per scenario (USD): 5,000,000
Installation &gt; Minimum budget per scenario (USD): 1,000,000
Installation &gt; How budgets are drawn: Uniform
Installation &gt; West lon: -87.51
Decommissioning &gt; Removal budget (USD): 5,000,000
Decommissioning &gt; Cost: Depth-based
Decommissioning &gt; Fixed cost per removal (USD, added): 30,000
Decommissioning &gt; USD per metre depth: 600
Decommissioning &gt; West lon: -87.51
Decommissioning &gt; Min removals: 1
Decommissioning &gt; Max removals: 25
Decommissioning &gt; Fraction of each structure removed: 0.5
Live solver / Search &gt; Number of scenarios to run: 100
Search &gt; Search algorithm: Random search
Search &gt; Random seed: 1,244</t>
        </is>
      </c>
      <c r="S245" s="3" t="inlineStr">
        <is>
          <t>C244_MIX-FL-Separate-Medium-Partial.json</t>
        </is>
      </c>
      <c r="T245" s="3" t="n">
        <v>100</v>
      </c>
      <c r="U245" s="3" t="n">
        <v>1244</v>
      </c>
      <c r="V245" s="3" t="n">
        <v>572</v>
      </c>
      <c r="W245" s="3" t="n">
        <v>118</v>
      </c>
      <c r="X245" s="3">
        <f>ROUND((T245+1)*'Read me'!$C$14/60,1)</f>
        <v/>
      </c>
      <c r="Y245" s="8" t="n"/>
      <c r="Z245" s="8" t="inlineStr">
        <is>
          <t>Not started</t>
        </is>
      </c>
      <c r="AA245" s="8" t="n"/>
      <c r="AB245" s="8" t="n"/>
      <c r="AC245" s="8" t="n"/>
      <c r="AD245" s="8" t="n"/>
      <c r="AE245" s="8" t="n"/>
      <c r="AF245" s="8" t="n"/>
      <c r="AG245" s="8" t="n"/>
      <c r="AH245" s="8" t="n"/>
      <c r="AI245" s="8" t="n"/>
      <c r="AJ245" s="8">
        <f>IF(OR(AH245="",'Submission &amp; QC'!$C$18=""),"",IF(AND(ABS(AH245-'Submission &amp; QC'!$C$18)&lt;=0.0005*ABS('Submission &amp; QC'!$C$18),ABS(AI245-'Submission &amp; QC'!$C$19)&lt;=0.0005*ABS('Submission &amp; QC'!$C$19)),"Pass","Fail"))</f>
        <v/>
      </c>
      <c r="AK245" s="8" t="n"/>
      <c r="AL245" s="8" t="n"/>
    </row>
    <row r="246" ht="255" customHeight="1">
      <c r="A246" s="3" t="inlineStr">
        <is>
          <t>C245</t>
        </is>
      </c>
      <c r="B246" s="10" t="inlineStr">
        <is>
          <t>C</t>
        </is>
      </c>
      <c r="C246" s="3" t="n">
        <v>3</v>
      </c>
      <c r="D246" s="3" t="inlineStr">
        <is>
          <t>Mixed</t>
        </is>
      </c>
      <c r="E246" s="3" t="inlineStr">
        <is>
          <t>MIX-FL-Separate-Large-Full</t>
        </is>
      </c>
      <c r="F246" s="3" t="inlineStr">
        <is>
          <t>Mixed: install and remove (separate budgets), large install budget ($5-15 M), full removal (100%; $50,000 + $1,000/m), Florida panhandle (east of the Perdido River)</t>
        </is>
      </c>
      <c r="G246" s="3" t="inlineStr">
        <is>
          <t>Florida panhandle (east of the Perdido River)</t>
        </is>
      </c>
      <c r="H246" s="3" t="n"/>
      <c r="I246" s="3" t="n"/>
      <c r="J246" s="3" t="n"/>
      <c r="K246" s="3" t="inlineStr">
        <is>
          <t>Large: $5-15 M</t>
        </is>
      </c>
      <c r="L246" s="3" t="n"/>
      <c r="M246" s="3" t="inlineStr">
        <is>
          <t>Full removal (100%; $50,000 + $1,000/m)</t>
        </is>
      </c>
      <c r="N246" s="3" t="n"/>
      <c r="O246" s="3" t="n"/>
      <c r="P246" s="3" t="inlineStr">
        <is>
          <t>No</t>
        </is>
      </c>
      <c r="Q246" s="3" t="n"/>
      <c r="R246" s="3" t="inlineStr">
        <is>
          <t>Strategy &gt; Strategy: Mixed: decommission and install
Strategy &gt; Shared budget: unticked
Installation &gt; Maximum budget per scenario (USD): 15,000,000
Installation &gt; Minimum budget per scenario (USD): 5,000,000
Installation &gt; How budgets are drawn: Uniform
Installation &gt; West lon: -87.51
Decommissioning &gt; Removal budget (USD): 5,000,000
Decommissioning &gt; Cost: Depth-based
Decommissioning &gt; Fixed cost per removal (USD, added): 50,000
Decommissioning &gt; USD per metre depth: 1,000
Decommissioning &gt; West lon: -87.51
Decommissioning &gt; Min removals: 1
Decommissioning &gt; Max removals: 25
Decommissioning &gt; Fraction of each structure removed: 1.0
Live solver / Search &gt; Number of scenarios to run: 100
Search &gt; Search algorithm: Random search
Search &gt; Random seed: 1,245</t>
        </is>
      </c>
      <c r="S246" s="3" t="inlineStr">
        <is>
          <t>C245_MIX-FL-Separate-Large-Full.json</t>
        </is>
      </c>
      <c r="T246" s="3" t="n">
        <v>100</v>
      </c>
      <c r="U246" s="3" t="n">
        <v>1245</v>
      </c>
      <c r="V246" s="3" t="n">
        <v>572</v>
      </c>
      <c r="W246" s="3" t="n">
        <v>118</v>
      </c>
      <c r="X246" s="3">
        <f>ROUND((T246+1)*'Read me'!$C$14/60,1)</f>
        <v/>
      </c>
      <c r="Y246" s="8" t="n"/>
      <c r="Z246" s="8" t="inlineStr">
        <is>
          <t>Not started</t>
        </is>
      </c>
      <c r="AA246" s="8" t="n"/>
      <c r="AB246" s="8" t="n"/>
      <c r="AC246" s="8" t="n"/>
      <c r="AD246" s="8" t="n"/>
      <c r="AE246" s="8" t="n"/>
      <c r="AF246" s="8" t="n"/>
      <c r="AG246" s="8" t="n"/>
      <c r="AH246" s="8" t="n"/>
      <c r="AI246" s="8" t="n"/>
      <c r="AJ246" s="8">
        <f>IF(OR(AH246="",'Submission &amp; QC'!$C$18=""),"",IF(AND(ABS(AH246-'Submission &amp; QC'!$C$18)&lt;=0.0005*ABS('Submission &amp; QC'!$C$18),ABS(AI246-'Submission &amp; QC'!$C$19)&lt;=0.0005*ABS('Submission &amp; QC'!$C$19)),"Pass","Fail"))</f>
        <v/>
      </c>
      <c r="AK246" s="8" t="n"/>
      <c r="AL246" s="8" t="n"/>
    </row>
    <row r="247" ht="255" customHeight="1">
      <c r="A247" s="3" t="inlineStr">
        <is>
          <t>C246</t>
        </is>
      </c>
      <c r="B247" s="10" t="inlineStr">
        <is>
          <t>C</t>
        </is>
      </c>
      <c r="C247" s="3" t="n">
        <v>3</v>
      </c>
      <c r="D247" s="3" t="inlineStr">
        <is>
          <t>Mixed</t>
        </is>
      </c>
      <c r="E247" s="3" t="inlineStr">
        <is>
          <t>MIX-FL-Separate-Large-Partial</t>
        </is>
      </c>
      <c r="F247" s="3" t="inlineStr">
        <is>
          <t>Mixed: install and remove (separate budgets), large install budget ($5-15 M), partial removal / toppling (50%; $30,000 + $600/m), Florida panhandle (east of the Perdido River)</t>
        </is>
      </c>
      <c r="G247" s="3" t="inlineStr">
        <is>
          <t>Florida panhandle (east of the Perdido River)</t>
        </is>
      </c>
      <c r="H247" s="3" t="n"/>
      <c r="I247" s="3" t="n"/>
      <c r="J247" s="3" t="n"/>
      <c r="K247" s="3" t="inlineStr">
        <is>
          <t>Large: $5-15 M</t>
        </is>
      </c>
      <c r="L247" s="3" t="n"/>
      <c r="M247" s="3" t="inlineStr">
        <is>
          <t>Partial removal / toppling (50%; $30,000 + $600/m)</t>
        </is>
      </c>
      <c r="N247" s="3" t="n"/>
      <c r="O247" s="3" t="n"/>
      <c r="P247" s="3" t="inlineStr">
        <is>
          <t>No</t>
        </is>
      </c>
      <c r="Q247" s="3" t="n"/>
      <c r="R247" s="3" t="inlineStr">
        <is>
          <t>Strategy &gt; Strategy: Mixed: decommission and install
Strategy &gt; Shared budget: unticked
Installation &gt; Maximum budget per scenario (USD): 15,000,000
Installation &gt; Minimum budget per scenario (USD): 5,000,000
Installation &gt; How budgets are drawn: Uniform
Installation &gt; West lon: -87.51
Decommissioning &gt; Removal budget (USD): 5,000,000
Decommissioning &gt; Cost: Depth-based
Decommissioning &gt; Fixed cost per removal (USD, added): 30,000
Decommissioning &gt; USD per metre depth: 600
Decommissioning &gt; West lon: -87.51
Decommissioning &gt; Min removals: 1
Decommissioning &gt; Max removals: 25
Decommissioning &gt; Fraction of each structure removed: 0.5
Live solver / Search &gt; Number of scenarios to run: 100
Search &gt; Search algorithm: Random search
Search &gt; Random seed: 1,246</t>
        </is>
      </c>
      <c r="S247" s="3" t="inlineStr">
        <is>
          <t>C246_MIX-FL-Separate-Large-Partial.json</t>
        </is>
      </c>
      <c r="T247" s="3" t="n">
        <v>100</v>
      </c>
      <c r="U247" s="3" t="n">
        <v>1246</v>
      </c>
      <c r="V247" s="3" t="n">
        <v>572</v>
      </c>
      <c r="W247" s="3" t="n">
        <v>118</v>
      </c>
      <c r="X247" s="3">
        <f>ROUND((T247+1)*'Read me'!$C$14/60,1)</f>
        <v/>
      </c>
      <c r="Y247" s="8" t="n"/>
      <c r="Z247" s="8" t="inlineStr">
        <is>
          <t>Not started</t>
        </is>
      </c>
      <c r="AA247" s="8" t="n"/>
      <c r="AB247" s="8" t="n"/>
      <c r="AC247" s="8" t="n"/>
      <c r="AD247" s="8" t="n"/>
      <c r="AE247" s="8" t="n"/>
      <c r="AF247" s="8" t="n"/>
      <c r="AG247" s="8" t="n"/>
      <c r="AH247" s="8" t="n"/>
      <c r="AI247" s="8" t="n"/>
      <c r="AJ247" s="8">
        <f>IF(OR(AH247="",'Submission &amp; QC'!$C$18=""),"",IF(AND(ABS(AH247-'Submission &amp; QC'!$C$18)&lt;=0.0005*ABS('Submission &amp; QC'!$C$18),ABS(AI247-'Submission &amp; QC'!$C$19)&lt;=0.0005*ABS('Submission &amp; QC'!$C$19)),"Pass","Fail"))</f>
        <v/>
      </c>
      <c r="AK247" s="8" t="n"/>
      <c r="AL247" s="8" t="n"/>
    </row>
    <row r="248" ht="255" customHeight="1">
      <c r="A248" s="3" t="inlineStr">
        <is>
          <t>C247</t>
        </is>
      </c>
      <c r="B248" s="10" t="inlineStr">
        <is>
          <t>C</t>
        </is>
      </c>
      <c r="C248" s="3" t="n">
        <v>3</v>
      </c>
      <c r="D248" s="3" t="inlineStr">
        <is>
          <t>Mixed</t>
        </is>
      </c>
      <c r="E248" s="3" t="inlineStr">
        <is>
          <t>MIX-FL-Shared-Small-Full</t>
        </is>
      </c>
      <c r="F248" s="3" t="inlineStr">
        <is>
          <t>Mixed: install and remove (one shared budget), small install budget ($0.1-1 M), full removal (100%; $50,000 + $1,000/m), Florida panhandle (east of the Perdido River)</t>
        </is>
      </c>
      <c r="G248" s="3" t="inlineStr">
        <is>
          <t>Florida panhandle (east of the Perdido River)</t>
        </is>
      </c>
      <c r="H248" s="3" t="n"/>
      <c r="I248" s="3" t="n"/>
      <c r="J248" s="3" t="n"/>
      <c r="K248" s="3" t="inlineStr">
        <is>
          <t>Small: $0.1-1 M</t>
        </is>
      </c>
      <c r="L248" s="3" t="n"/>
      <c r="M248" s="3" t="inlineStr">
        <is>
          <t>Full removal (100%; $50,000 + $1,000/m)</t>
        </is>
      </c>
      <c r="N248" s="3" t="n"/>
      <c r="O248" s="3" t="n"/>
      <c r="P248" s="3" t="inlineStr">
        <is>
          <t>Yes</t>
        </is>
      </c>
      <c r="Q248" s="3" t="n"/>
      <c r="R248" s="3" t="inlineStr">
        <is>
          <t>Strategy &gt; Strategy: Mixed: decommission and install
Strategy &gt; Shared budget: ticked
Installation &gt; Maximum budget per scenario (USD): 1,000,000
Installation &gt; Minimum budget per scenario (USD): 100,000
Installation &gt; How budgets are drawn: Uniform
Installation &gt; West lon: -87.51
Decommissioning &gt; Removal budget (USD): 5,000,000
Decommissioning &gt; Cost: Depth-based
Decommissioning &gt; Fixed cost per removal (USD, added): 50,000
Decommissioning &gt; USD per metre depth: 1,000
Decommissioning &gt; West lon: -87.51
Decommissioning &gt; Min removals: 1
Decommissioning &gt; Max removals: 25
Decommissioning &gt; Fraction of each structure removed: 1.0
Live solver / Search &gt; Number of scenarios to run: 100
Search &gt; Search algorithm: Random search
Search &gt; Random seed: 1,247</t>
        </is>
      </c>
      <c r="S248" s="3" t="inlineStr">
        <is>
          <t>C247_MIX-FL-Shared-Small-Full.json</t>
        </is>
      </c>
      <c r="T248" s="3" t="n">
        <v>100</v>
      </c>
      <c r="U248" s="3" t="n">
        <v>1247</v>
      </c>
      <c r="V248" s="3" t="n">
        <v>572</v>
      </c>
      <c r="W248" s="3" t="n">
        <v>118</v>
      </c>
      <c r="X248" s="3">
        <f>ROUND((T248+1)*'Read me'!$C$14/60,1)</f>
        <v/>
      </c>
      <c r="Y248" s="8" t="n"/>
      <c r="Z248" s="8" t="inlineStr">
        <is>
          <t>Not started</t>
        </is>
      </c>
      <c r="AA248" s="8" t="n"/>
      <c r="AB248" s="8" t="n"/>
      <c r="AC248" s="8" t="n"/>
      <c r="AD248" s="8" t="n"/>
      <c r="AE248" s="8" t="n"/>
      <c r="AF248" s="8" t="n"/>
      <c r="AG248" s="8" t="n"/>
      <c r="AH248" s="8" t="n"/>
      <c r="AI248" s="8" t="n"/>
      <c r="AJ248" s="8">
        <f>IF(OR(AH248="",'Submission &amp; QC'!$C$18=""),"",IF(AND(ABS(AH248-'Submission &amp; QC'!$C$18)&lt;=0.0005*ABS('Submission &amp; QC'!$C$18),ABS(AI248-'Submission &amp; QC'!$C$19)&lt;=0.0005*ABS('Submission &amp; QC'!$C$19)),"Pass","Fail"))</f>
        <v/>
      </c>
      <c r="AK248" s="8" t="n"/>
      <c r="AL248" s="8" t="n"/>
    </row>
    <row r="249" ht="255" customHeight="1">
      <c r="A249" s="3" t="inlineStr">
        <is>
          <t>C248</t>
        </is>
      </c>
      <c r="B249" s="10" t="inlineStr">
        <is>
          <t>C</t>
        </is>
      </c>
      <c r="C249" s="3" t="n">
        <v>3</v>
      </c>
      <c r="D249" s="3" t="inlineStr">
        <is>
          <t>Mixed</t>
        </is>
      </c>
      <c r="E249" s="3" t="inlineStr">
        <is>
          <t>MIX-FL-Shared-Small-Partial</t>
        </is>
      </c>
      <c r="F249" s="3" t="inlineStr">
        <is>
          <t>Mixed: install and remove (one shared budget), small install budget ($0.1-1 M), partial removal / toppling (50%; $30,000 + $600/m), Florida panhandle (east of the Perdido River)</t>
        </is>
      </c>
      <c r="G249" s="3" t="inlineStr">
        <is>
          <t>Florida panhandle (east of the Perdido River)</t>
        </is>
      </c>
      <c r="H249" s="3" t="n"/>
      <c r="I249" s="3" t="n"/>
      <c r="J249" s="3" t="n"/>
      <c r="K249" s="3" t="inlineStr">
        <is>
          <t>Small: $0.1-1 M</t>
        </is>
      </c>
      <c r="L249" s="3" t="n"/>
      <c r="M249" s="3" t="inlineStr">
        <is>
          <t>Partial removal / toppling (50%; $30,000 + $600/m)</t>
        </is>
      </c>
      <c r="N249" s="3" t="n"/>
      <c r="O249" s="3" t="n"/>
      <c r="P249" s="3" t="inlineStr">
        <is>
          <t>Yes</t>
        </is>
      </c>
      <c r="Q249" s="3" t="n"/>
      <c r="R249" s="3" t="inlineStr">
        <is>
          <t>Strategy &gt; Strategy: Mixed: decommission and install
Strategy &gt; Shared budget: ticked
Installation &gt; Maximum budget per scenario (USD): 1,000,000
Installation &gt; Minimum budget per scenario (USD): 100,000
Installation &gt; How budgets are drawn: Uniform
Installation &gt; West lon: -87.51
Decommissioning &gt; Removal budget (USD): 5,000,000
Decommissioning &gt; Cost: Depth-based
Decommissioning &gt; Fixed cost per removal (USD, added): 30,000
Decommissioning &gt; USD per metre depth: 600
Decommissioning &gt; West lon: -87.51
Decommissioning &gt; Min removals: 1
Decommissioning &gt; Max removals: 25
Decommissioning &gt; Fraction of each structure removed: 0.5
Live solver / Search &gt; Number of scenarios to run: 100
Search &gt; Search algorithm: Random search
Search &gt; Random seed: 1,248</t>
        </is>
      </c>
      <c r="S249" s="3" t="inlineStr">
        <is>
          <t>C248_MIX-FL-Shared-Small-Partial.json</t>
        </is>
      </c>
      <c r="T249" s="3" t="n">
        <v>100</v>
      </c>
      <c r="U249" s="3" t="n">
        <v>1248</v>
      </c>
      <c r="V249" s="3" t="n">
        <v>572</v>
      </c>
      <c r="W249" s="3" t="n">
        <v>118</v>
      </c>
      <c r="X249" s="3">
        <f>ROUND((T249+1)*'Read me'!$C$14/60,1)</f>
        <v/>
      </c>
      <c r="Y249" s="8" t="n"/>
      <c r="Z249" s="8" t="inlineStr">
        <is>
          <t>Not started</t>
        </is>
      </c>
      <c r="AA249" s="8" t="n"/>
      <c r="AB249" s="8" t="n"/>
      <c r="AC249" s="8" t="n"/>
      <c r="AD249" s="8" t="n"/>
      <c r="AE249" s="8" t="n"/>
      <c r="AF249" s="8" t="n"/>
      <c r="AG249" s="8" t="n"/>
      <c r="AH249" s="8" t="n"/>
      <c r="AI249" s="8" t="n"/>
      <c r="AJ249" s="8">
        <f>IF(OR(AH249="",'Submission &amp; QC'!$C$18=""),"",IF(AND(ABS(AH249-'Submission &amp; QC'!$C$18)&lt;=0.0005*ABS('Submission &amp; QC'!$C$18),ABS(AI249-'Submission &amp; QC'!$C$19)&lt;=0.0005*ABS('Submission &amp; QC'!$C$19)),"Pass","Fail"))</f>
        <v/>
      </c>
      <c r="AK249" s="8" t="n"/>
      <c r="AL249" s="8" t="n"/>
    </row>
    <row r="250" ht="255" customHeight="1">
      <c r="A250" s="3" t="inlineStr">
        <is>
          <t>C249</t>
        </is>
      </c>
      <c r="B250" s="10" t="inlineStr">
        <is>
          <t>C</t>
        </is>
      </c>
      <c r="C250" s="3" t="n">
        <v>3</v>
      </c>
      <c r="D250" s="3" t="inlineStr">
        <is>
          <t>Mixed</t>
        </is>
      </c>
      <c r="E250" s="3" t="inlineStr">
        <is>
          <t>MIX-FL-Shared-Medium-Full</t>
        </is>
      </c>
      <c r="F250" s="3" t="inlineStr">
        <is>
          <t>Mixed: install and remove (one shared budget), medium install budget ($1-5 M), full removal (100%; $50,000 + $1,000/m), Florida panhandle (east of the Perdido River)</t>
        </is>
      </c>
      <c r="G250" s="3" t="inlineStr">
        <is>
          <t>Florida panhandle (east of the Perdido River)</t>
        </is>
      </c>
      <c r="H250" s="3" t="n"/>
      <c r="I250" s="3" t="n"/>
      <c r="J250" s="3" t="n"/>
      <c r="K250" s="3" t="inlineStr">
        <is>
          <t>Medium: $1-5 M</t>
        </is>
      </c>
      <c r="L250" s="3" t="n"/>
      <c r="M250" s="3" t="inlineStr">
        <is>
          <t>Full removal (100%; $50,000 + $1,000/m)</t>
        </is>
      </c>
      <c r="N250" s="3" t="n"/>
      <c r="O250" s="3" t="n"/>
      <c r="P250" s="3" t="inlineStr">
        <is>
          <t>Yes</t>
        </is>
      </c>
      <c r="Q250" s="3" t="n"/>
      <c r="R250" s="3" t="inlineStr">
        <is>
          <t>Strategy &gt; Strategy: Mixed: decommission and install
Strategy &gt; Shared budget: ticked
Installation &gt; Maximum budget per scenario (USD): 5,000,000
Installation &gt; Minimum budget per scenario (USD): 1,000,000
Installation &gt; How budgets are drawn: Uniform
Installation &gt; West lon: -87.51
Decommissioning &gt; Removal budget (USD): 5,000,000
Decommissioning &gt; Cost: Depth-based
Decommissioning &gt; Fixed cost per removal (USD, added): 50,000
Decommissioning &gt; USD per metre depth: 1,000
Decommissioning &gt; West lon: -87.51
Decommissioning &gt; Min removals: 1
Decommissioning &gt; Max removals: 25
Decommissioning &gt; Fraction of each structure removed: 1.0
Live solver / Search &gt; Number of scenarios to run: 100
Search &gt; Search algorithm: Random search
Search &gt; Random seed: 1,249</t>
        </is>
      </c>
      <c r="S250" s="3" t="inlineStr">
        <is>
          <t>C249_MIX-FL-Shared-Medium-Full.json</t>
        </is>
      </c>
      <c r="T250" s="3" t="n">
        <v>100</v>
      </c>
      <c r="U250" s="3" t="n">
        <v>1249</v>
      </c>
      <c r="V250" s="3" t="n">
        <v>572</v>
      </c>
      <c r="W250" s="3" t="n">
        <v>118</v>
      </c>
      <c r="X250" s="3">
        <f>ROUND((T250+1)*'Read me'!$C$14/60,1)</f>
        <v/>
      </c>
      <c r="Y250" s="8" t="n"/>
      <c r="Z250" s="8" t="inlineStr">
        <is>
          <t>Not started</t>
        </is>
      </c>
      <c r="AA250" s="8" t="n"/>
      <c r="AB250" s="8" t="n"/>
      <c r="AC250" s="8" t="n"/>
      <c r="AD250" s="8" t="n"/>
      <c r="AE250" s="8" t="n"/>
      <c r="AF250" s="8" t="n"/>
      <c r="AG250" s="8" t="n"/>
      <c r="AH250" s="8" t="n"/>
      <c r="AI250" s="8" t="n"/>
      <c r="AJ250" s="8">
        <f>IF(OR(AH250="",'Submission &amp; QC'!$C$18=""),"",IF(AND(ABS(AH250-'Submission &amp; QC'!$C$18)&lt;=0.0005*ABS('Submission &amp; QC'!$C$18),ABS(AI250-'Submission &amp; QC'!$C$19)&lt;=0.0005*ABS('Submission &amp; QC'!$C$19)),"Pass","Fail"))</f>
        <v/>
      </c>
      <c r="AK250" s="8" t="n"/>
      <c r="AL250" s="8" t="n"/>
    </row>
    <row r="251" ht="255" customHeight="1">
      <c r="A251" s="3" t="inlineStr">
        <is>
          <t>C250</t>
        </is>
      </c>
      <c r="B251" s="10" t="inlineStr">
        <is>
          <t>C</t>
        </is>
      </c>
      <c r="C251" s="3" t="n">
        <v>3</v>
      </c>
      <c r="D251" s="3" t="inlineStr">
        <is>
          <t>Mixed</t>
        </is>
      </c>
      <c r="E251" s="3" t="inlineStr">
        <is>
          <t>MIX-FL-Shared-Medium-Partial</t>
        </is>
      </c>
      <c r="F251" s="3" t="inlineStr">
        <is>
          <t>Mixed: install and remove (one shared budget), medium install budget ($1-5 M), partial removal / toppling (50%; $30,000 + $600/m), Florida panhandle (east of the Perdido River)</t>
        </is>
      </c>
      <c r="G251" s="3" t="inlineStr">
        <is>
          <t>Florida panhandle (east of the Perdido River)</t>
        </is>
      </c>
      <c r="H251" s="3" t="n"/>
      <c r="I251" s="3" t="n"/>
      <c r="J251" s="3" t="n"/>
      <c r="K251" s="3" t="inlineStr">
        <is>
          <t>Medium: $1-5 M</t>
        </is>
      </c>
      <c r="L251" s="3" t="n"/>
      <c r="M251" s="3" t="inlineStr">
        <is>
          <t>Partial removal / toppling (50%; $30,000 + $600/m)</t>
        </is>
      </c>
      <c r="N251" s="3" t="n"/>
      <c r="O251" s="3" t="n"/>
      <c r="P251" s="3" t="inlineStr">
        <is>
          <t>Yes</t>
        </is>
      </c>
      <c r="Q251" s="3" t="n"/>
      <c r="R251" s="3" t="inlineStr">
        <is>
          <t>Strategy &gt; Strategy: Mixed: decommission and install
Strategy &gt; Shared budget: ticked
Installation &gt; Maximum budget per scenario (USD): 5,000,000
Installation &gt; Minimum budget per scenario (USD): 1,000,000
Installation &gt; How budgets are drawn: Uniform
Installation &gt; West lon: -87.51
Decommissioning &gt; Removal budget (USD): 5,000,000
Decommissioning &gt; Cost: Depth-based
Decommissioning &gt; Fixed cost per removal (USD, added): 30,000
Decommissioning &gt; USD per metre depth: 600
Decommissioning &gt; West lon: -87.51
Decommissioning &gt; Min removals: 1
Decommissioning &gt; Max removals: 25
Decommissioning &gt; Fraction of each structure removed: 0.5
Live solver / Search &gt; Number of scenarios to run: 100
Search &gt; Search algorithm: Random search
Search &gt; Random seed: 1,250</t>
        </is>
      </c>
      <c r="S251" s="3" t="inlineStr">
        <is>
          <t>C250_MIX-FL-Shared-Medium-Partial.json</t>
        </is>
      </c>
      <c r="T251" s="3" t="n">
        <v>100</v>
      </c>
      <c r="U251" s="3" t="n">
        <v>1250</v>
      </c>
      <c r="V251" s="3" t="n">
        <v>572</v>
      </c>
      <c r="W251" s="3" t="n">
        <v>118</v>
      </c>
      <c r="X251" s="3">
        <f>ROUND((T251+1)*'Read me'!$C$14/60,1)</f>
        <v/>
      </c>
      <c r="Y251" s="8" t="n"/>
      <c r="Z251" s="8" t="inlineStr">
        <is>
          <t>Not started</t>
        </is>
      </c>
      <c r="AA251" s="8" t="n"/>
      <c r="AB251" s="8" t="n"/>
      <c r="AC251" s="8" t="n"/>
      <c r="AD251" s="8" t="n"/>
      <c r="AE251" s="8" t="n"/>
      <c r="AF251" s="8" t="n"/>
      <c r="AG251" s="8" t="n"/>
      <c r="AH251" s="8" t="n"/>
      <c r="AI251" s="8" t="n"/>
      <c r="AJ251" s="8">
        <f>IF(OR(AH251="",'Submission &amp; QC'!$C$18=""),"",IF(AND(ABS(AH251-'Submission &amp; QC'!$C$18)&lt;=0.0005*ABS('Submission &amp; QC'!$C$18),ABS(AI251-'Submission &amp; QC'!$C$19)&lt;=0.0005*ABS('Submission &amp; QC'!$C$19)),"Pass","Fail"))</f>
        <v/>
      </c>
      <c r="AK251" s="8" t="n"/>
      <c r="AL251" s="8" t="n"/>
    </row>
    <row r="252" ht="255" customHeight="1">
      <c r="A252" s="3" t="inlineStr">
        <is>
          <t>C251</t>
        </is>
      </c>
      <c r="B252" s="10" t="inlineStr">
        <is>
          <t>C</t>
        </is>
      </c>
      <c r="C252" s="3" t="n">
        <v>3</v>
      </c>
      <c r="D252" s="3" t="inlineStr">
        <is>
          <t>Mixed</t>
        </is>
      </c>
      <c r="E252" s="3" t="inlineStr">
        <is>
          <t>MIX-FL-Shared-Large-Full</t>
        </is>
      </c>
      <c r="F252" s="3" t="inlineStr">
        <is>
          <t>Mixed: install and remove (one shared budget), large install budget ($5-15 M), full removal (100%; $50,000 + $1,000/m), Florida panhandle (east of the Perdido River)</t>
        </is>
      </c>
      <c r="G252" s="3" t="inlineStr">
        <is>
          <t>Florida panhandle (east of the Perdido River)</t>
        </is>
      </c>
      <c r="H252" s="3" t="n"/>
      <c r="I252" s="3" t="n"/>
      <c r="J252" s="3" t="n"/>
      <c r="K252" s="3" t="inlineStr">
        <is>
          <t>Large: $5-15 M</t>
        </is>
      </c>
      <c r="L252" s="3" t="n"/>
      <c r="M252" s="3" t="inlineStr">
        <is>
          <t>Full removal (100%; $50,000 + $1,000/m)</t>
        </is>
      </c>
      <c r="N252" s="3" t="n"/>
      <c r="O252" s="3" t="n"/>
      <c r="P252" s="3" t="inlineStr">
        <is>
          <t>Yes</t>
        </is>
      </c>
      <c r="Q252" s="3" t="n"/>
      <c r="R252" s="3" t="inlineStr">
        <is>
          <t>Strategy &gt; Strategy: Mixed: decommission and install
Strategy &gt; Shared budget: ticked
Installation &gt; Maximum budget per scenario (USD): 15,000,000
Installation &gt; Minimum budget per scenario (USD): 5,000,000
Installation &gt; How budgets are drawn: Uniform
Installation &gt; West lon: -87.51
Decommissioning &gt; Removal budget (USD): 5,000,000
Decommissioning &gt; Cost: Depth-based
Decommissioning &gt; Fixed cost per removal (USD, added): 50,000
Decommissioning &gt; USD per metre depth: 1,000
Decommissioning &gt; West lon: -87.51
Decommissioning &gt; Min removals: 1
Decommissioning &gt; Max removals: 25
Decommissioning &gt; Fraction of each structure removed: 1.0
Live solver / Search &gt; Number of scenarios to run: 100
Search &gt; Search algorithm: Random search
Search &gt; Random seed: 1,251</t>
        </is>
      </c>
      <c r="S252" s="3" t="inlineStr">
        <is>
          <t>C251_MIX-FL-Shared-Large-Full.json</t>
        </is>
      </c>
      <c r="T252" s="3" t="n">
        <v>100</v>
      </c>
      <c r="U252" s="3" t="n">
        <v>1251</v>
      </c>
      <c r="V252" s="3" t="n">
        <v>572</v>
      </c>
      <c r="W252" s="3" t="n">
        <v>118</v>
      </c>
      <c r="X252" s="3">
        <f>ROUND((T252+1)*'Read me'!$C$14/60,1)</f>
        <v/>
      </c>
      <c r="Y252" s="8" t="n"/>
      <c r="Z252" s="8" t="inlineStr">
        <is>
          <t>Not started</t>
        </is>
      </c>
      <c r="AA252" s="8" t="n"/>
      <c r="AB252" s="8" t="n"/>
      <c r="AC252" s="8" t="n"/>
      <c r="AD252" s="8" t="n"/>
      <c r="AE252" s="8" t="n"/>
      <c r="AF252" s="8" t="n"/>
      <c r="AG252" s="8" t="n"/>
      <c r="AH252" s="8" t="n"/>
      <c r="AI252" s="8" t="n"/>
      <c r="AJ252" s="8">
        <f>IF(OR(AH252="",'Submission &amp; QC'!$C$18=""),"",IF(AND(ABS(AH252-'Submission &amp; QC'!$C$18)&lt;=0.0005*ABS('Submission &amp; QC'!$C$18),ABS(AI252-'Submission &amp; QC'!$C$19)&lt;=0.0005*ABS('Submission &amp; QC'!$C$19)),"Pass","Fail"))</f>
        <v/>
      </c>
      <c r="AK252" s="8" t="n"/>
      <c r="AL252" s="8" t="n"/>
    </row>
    <row r="253" ht="255" customHeight="1">
      <c r="A253" s="3" t="inlineStr">
        <is>
          <t>C252</t>
        </is>
      </c>
      <c r="B253" s="10" t="inlineStr">
        <is>
          <t>C</t>
        </is>
      </c>
      <c r="C253" s="3" t="n">
        <v>3</v>
      </c>
      <c r="D253" s="3" t="inlineStr">
        <is>
          <t>Mixed</t>
        </is>
      </c>
      <c r="E253" s="3" t="inlineStr">
        <is>
          <t>MIX-FL-Shared-Large-Partial</t>
        </is>
      </c>
      <c r="F253" s="3" t="inlineStr">
        <is>
          <t>Mixed: install and remove (one shared budget), large install budget ($5-15 M), partial removal / toppling (50%; $30,000 + $600/m), Florida panhandle (east of the Perdido River)</t>
        </is>
      </c>
      <c r="G253" s="3" t="inlineStr">
        <is>
          <t>Florida panhandle (east of the Perdido River)</t>
        </is>
      </c>
      <c r="H253" s="3" t="n"/>
      <c r="I253" s="3" t="n"/>
      <c r="J253" s="3" t="n"/>
      <c r="K253" s="3" t="inlineStr">
        <is>
          <t>Large: $5-15 M</t>
        </is>
      </c>
      <c r="L253" s="3" t="n"/>
      <c r="M253" s="3" t="inlineStr">
        <is>
          <t>Partial removal / toppling (50%; $30,000 + $600/m)</t>
        </is>
      </c>
      <c r="N253" s="3" t="n"/>
      <c r="O253" s="3" t="n"/>
      <c r="P253" s="3" t="inlineStr">
        <is>
          <t>Yes</t>
        </is>
      </c>
      <c r="Q253" s="3" t="n"/>
      <c r="R253" s="3" t="inlineStr">
        <is>
          <t>Strategy &gt; Strategy: Mixed: decommission and install
Strategy &gt; Shared budget: ticked
Installation &gt; Maximum budget per scenario (USD): 15,000,000
Installation &gt; Minimum budget per scenario (USD): 5,000,000
Installation &gt; How budgets are drawn: Uniform
Installation &gt; West lon: -87.51
Decommissioning &gt; Removal budget (USD): 5,000,000
Decommissioning &gt; Cost: Depth-based
Decommissioning &gt; Fixed cost per removal (USD, added): 30,000
Decommissioning &gt; USD per metre depth: 600
Decommissioning &gt; West lon: -87.51
Decommissioning &gt; Min removals: 1
Decommissioning &gt; Max removals: 25
Decommissioning &gt; Fraction of each structure removed: 0.5
Live solver / Search &gt; Number of scenarios to run: 100
Search &gt; Search algorithm: Random search
Search &gt; Random seed: 1,252</t>
        </is>
      </c>
      <c r="S253" s="3" t="inlineStr">
        <is>
          <t>C252_MIX-FL-Shared-Large-Partial.json</t>
        </is>
      </c>
      <c r="T253" s="3" t="n">
        <v>100</v>
      </c>
      <c r="U253" s="3" t="n">
        <v>1252</v>
      </c>
      <c r="V253" s="3" t="n">
        <v>572</v>
      </c>
      <c r="W253" s="3" t="n">
        <v>118</v>
      </c>
      <c r="X253" s="3">
        <f>ROUND((T253+1)*'Read me'!$C$14/60,1)</f>
        <v/>
      </c>
      <c r="Y253" s="8" t="n"/>
      <c r="Z253" s="8" t="inlineStr">
        <is>
          <t>Not started</t>
        </is>
      </c>
      <c r="AA253" s="8" t="n"/>
      <c r="AB253" s="8" t="n"/>
      <c r="AC253" s="8" t="n"/>
      <c r="AD253" s="8" t="n"/>
      <c r="AE253" s="8" t="n"/>
      <c r="AF253" s="8" t="n"/>
      <c r="AG253" s="8" t="n"/>
      <c r="AH253" s="8" t="n"/>
      <c r="AI253" s="8" t="n"/>
      <c r="AJ253" s="8">
        <f>IF(OR(AH253="",'Submission &amp; QC'!$C$18=""),"",IF(AND(ABS(AH253-'Submission &amp; QC'!$C$18)&lt;=0.0005*ABS('Submission &amp; QC'!$C$18),ABS(AI253-'Submission &amp; QC'!$C$19)&lt;=0.0005*ABS('Submission &amp; QC'!$C$19)),"Pass","Fail"))</f>
        <v/>
      </c>
      <c r="AK253" s="8" t="n"/>
      <c r="AL253" s="8" t="n"/>
    </row>
    <row r="254" ht="105" customHeight="1">
      <c r="A254" s="3" t="inlineStr">
        <is>
          <t>D253</t>
        </is>
      </c>
      <c r="B254" s="11" t="inlineStr">
        <is>
          <t>D</t>
        </is>
      </c>
      <c r="C254" s="3" t="n">
        <v>1</v>
      </c>
      <c r="D254" s="3" t="inlineStr">
        <is>
          <t>Install</t>
        </is>
      </c>
      <c r="E254" s="3" t="inlineStr">
        <is>
          <t>SENS-REF-seed1</t>
        </is>
      </c>
      <c r="F254" s="3" t="inlineStr">
        <is>
          <t>Reference scenario, replicate 1</t>
        </is>
      </c>
      <c r="G254" s="3" t="n"/>
      <c r="H254" s="3" t="n"/>
      <c r="I254" s="3" t="n"/>
      <c r="J254" s="3" t="n"/>
      <c r="K254" s="3" t="n"/>
      <c r="L254" s="3" t="n"/>
      <c r="M254" s="3" t="n"/>
      <c r="N254" s="3" t="n"/>
      <c r="O254" s="3" t="n"/>
      <c r="P254" s="3" t="n"/>
      <c r="Q254" s="3" t="inlineStr">
        <is>
          <t>Reference</t>
        </is>
      </c>
      <c r="R254" s="3" t="inlineStr">
        <is>
          <t>Strategy &gt; Strategy: Install new structures
Installation &gt; Maximum budget per scenario (USD): 5,000,000
Installation &gt; Minimum budget per scenario (USD): 1,000,000
Installation &gt; How budgets are drawn: Uniform
Search &gt; Random seed: 1
Live solver / Search &gt; Number of scenarios to run: 100
Search &gt; Search algorithm: Random search</t>
        </is>
      </c>
      <c r="S254" s="3" t="inlineStr">
        <is>
          <t>D253_SENS-REF-seed1.json</t>
        </is>
      </c>
      <c r="T254" s="3" t="n">
        <v>100</v>
      </c>
      <c r="U254" s="3" t="n">
        <v>1</v>
      </c>
      <c r="V254" s="3" t="n">
        <v>988</v>
      </c>
      <c r="W254" s="3" t="n"/>
      <c r="X254" s="3">
        <f>ROUND((T254+1)*'Read me'!$C$14/60,1)</f>
        <v/>
      </c>
      <c r="Y254" s="8" t="n"/>
      <c r="Z254" s="8" t="inlineStr">
        <is>
          <t>Not started</t>
        </is>
      </c>
      <c r="AA254" s="8" t="n"/>
      <c r="AB254" s="8" t="n"/>
      <c r="AC254" s="8" t="n"/>
      <c r="AD254" s="8" t="n"/>
      <c r="AE254" s="8" t="n"/>
      <c r="AF254" s="8" t="n"/>
      <c r="AG254" s="8" t="n"/>
      <c r="AH254" s="8" t="n"/>
      <c r="AI254" s="8" t="n"/>
      <c r="AJ254" s="8">
        <f>IF(OR(AH254="",'Submission &amp; QC'!$C$18=""),"",IF(AND(ABS(AH254-'Submission &amp; QC'!$C$18)&lt;=0.0005*ABS('Submission &amp; QC'!$C$18),ABS(AI254-'Submission &amp; QC'!$C$19)&lt;=0.0005*ABS('Submission &amp; QC'!$C$19)),"Pass","Fail"))</f>
        <v/>
      </c>
      <c r="AK254" s="8" t="n"/>
      <c r="AL254" s="8" t="n"/>
    </row>
    <row r="255" ht="105" customHeight="1">
      <c r="A255" s="3" t="inlineStr">
        <is>
          <t>D254</t>
        </is>
      </c>
      <c r="B255" s="11" t="inlineStr">
        <is>
          <t>D</t>
        </is>
      </c>
      <c r="C255" s="3" t="n">
        <v>1</v>
      </c>
      <c r="D255" s="3" t="inlineStr">
        <is>
          <t>Install</t>
        </is>
      </c>
      <c r="E255" s="3" t="inlineStr">
        <is>
          <t>SENS-REF-seed2</t>
        </is>
      </c>
      <c r="F255" s="3" t="inlineStr">
        <is>
          <t>Reference scenario, replicate 2 (different random seed)</t>
        </is>
      </c>
      <c r="G255" s="3" t="n"/>
      <c r="H255" s="3" t="n"/>
      <c r="I255" s="3" t="n"/>
      <c r="J255" s="3" t="n"/>
      <c r="K255" s="3" t="n"/>
      <c r="L255" s="3" t="n"/>
      <c r="M255" s="3" t="n"/>
      <c r="N255" s="3" t="n"/>
      <c r="O255" s="3" t="n"/>
      <c r="P255" s="3" t="n"/>
      <c r="Q255" s="3" t="inlineStr">
        <is>
          <t>Reference</t>
        </is>
      </c>
      <c r="R255" s="3" t="inlineStr">
        <is>
          <t>Strategy &gt; Strategy: Install new structures
Installation &gt; Maximum budget per scenario (USD): 5,000,000
Installation &gt; Minimum budget per scenario (USD): 1,000,000
Installation &gt; How budgets are drawn: Uniform
Search &gt; Random seed: 2
Live solver / Search &gt; Number of scenarios to run: 100
Search &gt; Search algorithm: Random search</t>
        </is>
      </c>
      <c r="S255" s="3" t="inlineStr">
        <is>
          <t>D254_SENS-REF-seed2.json</t>
        </is>
      </c>
      <c r="T255" s="3" t="n">
        <v>100</v>
      </c>
      <c r="U255" s="3" t="n">
        <v>2</v>
      </c>
      <c r="V255" s="3" t="n">
        <v>988</v>
      </c>
      <c r="W255" s="3" t="n"/>
      <c r="X255" s="3">
        <f>ROUND((T255+1)*'Read me'!$C$14/60,1)</f>
        <v/>
      </c>
      <c r="Y255" s="8" t="n"/>
      <c r="Z255" s="8" t="inlineStr">
        <is>
          <t>Not started</t>
        </is>
      </c>
      <c r="AA255" s="8" t="n"/>
      <c r="AB255" s="8" t="n"/>
      <c r="AC255" s="8" t="n"/>
      <c r="AD255" s="8" t="n"/>
      <c r="AE255" s="8" t="n"/>
      <c r="AF255" s="8" t="n"/>
      <c r="AG255" s="8" t="n"/>
      <c r="AH255" s="8" t="n"/>
      <c r="AI255" s="8" t="n"/>
      <c r="AJ255" s="8">
        <f>IF(OR(AH255="",'Submission &amp; QC'!$C$18=""),"",IF(AND(ABS(AH255-'Submission &amp; QC'!$C$18)&lt;=0.0005*ABS('Submission &amp; QC'!$C$18),ABS(AI255-'Submission &amp; QC'!$C$19)&lt;=0.0005*ABS('Submission &amp; QC'!$C$19)),"Pass","Fail"))</f>
        <v/>
      </c>
      <c r="AK255" s="8" t="n"/>
      <c r="AL255" s="8" t="n"/>
    </row>
    <row r="256" ht="105" customHeight="1">
      <c r="A256" s="3" t="inlineStr">
        <is>
          <t>D255</t>
        </is>
      </c>
      <c r="B256" s="11" t="inlineStr">
        <is>
          <t>D</t>
        </is>
      </c>
      <c r="C256" s="3" t="n">
        <v>1</v>
      </c>
      <c r="D256" s="3" t="inlineStr">
        <is>
          <t>Install</t>
        </is>
      </c>
      <c r="E256" s="3" t="inlineStr">
        <is>
          <t>SENS-REF-seed3</t>
        </is>
      </c>
      <c r="F256" s="3" t="inlineStr">
        <is>
          <t>Reference scenario, replicate 3 (different random seed)</t>
        </is>
      </c>
      <c r="G256" s="3" t="n"/>
      <c r="H256" s="3" t="n"/>
      <c r="I256" s="3" t="n"/>
      <c r="J256" s="3" t="n"/>
      <c r="K256" s="3" t="n"/>
      <c r="L256" s="3" t="n"/>
      <c r="M256" s="3" t="n"/>
      <c r="N256" s="3" t="n"/>
      <c r="O256" s="3" t="n"/>
      <c r="P256" s="3" t="n"/>
      <c r="Q256" s="3" t="inlineStr">
        <is>
          <t>Reference</t>
        </is>
      </c>
      <c r="R256" s="3" t="inlineStr">
        <is>
          <t>Strategy &gt; Strategy: Install new structures
Installation &gt; Maximum budget per scenario (USD): 5,000,000
Installation &gt; Minimum budget per scenario (USD): 1,000,000
Installation &gt; How budgets are drawn: Uniform
Search &gt; Random seed: 3
Live solver / Search &gt; Number of scenarios to run: 100
Search &gt; Search algorithm: Random search</t>
        </is>
      </c>
      <c r="S256" s="3" t="inlineStr">
        <is>
          <t>D255_SENS-REF-seed3.json</t>
        </is>
      </c>
      <c r="T256" s="3" t="n">
        <v>100</v>
      </c>
      <c r="U256" s="3" t="n">
        <v>3</v>
      </c>
      <c r="V256" s="3" t="n">
        <v>988</v>
      </c>
      <c r="W256" s="3" t="n"/>
      <c r="X256" s="3">
        <f>ROUND((T256+1)*'Read me'!$C$14/60,1)</f>
        <v/>
      </c>
      <c r="Y256" s="8" t="n"/>
      <c r="Z256" s="8" t="inlineStr">
        <is>
          <t>Not started</t>
        </is>
      </c>
      <c r="AA256" s="8" t="n"/>
      <c r="AB256" s="8" t="n"/>
      <c r="AC256" s="8" t="n"/>
      <c r="AD256" s="8" t="n"/>
      <c r="AE256" s="8" t="n"/>
      <c r="AF256" s="8" t="n"/>
      <c r="AG256" s="8" t="n"/>
      <c r="AH256" s="8" t="n"/>
      <c r="AI256" s="8" t="n"/>
      <c r="AJ256" s="8">
        <f>IF(OR(AH256="",'Submission &amp; QC'!$C$18=""),"",IF(AND(ABS(AH256-'Submission &amp; QC'!$C$18)&lt;=0.0005*ABS('Submission &amp; QC'!$C$18),ABS(AI256-'Submission &amp; QC'!$C$19)&lt;=0.0005*ABS('Submission &amp; QC'!$C$19)),"Pass","Fail"))</f>
        <v/>
      </c>
      <c r="AK256" s="8" t="n"/>
      <c r="AL256" s="8" t="n"/>
    </row>
    <row r="257" ht="120" customHeight="1">
      <c r="A257" s="3" t="inlineStr">
        <is>
          <t>D256</t>
        </is>
      </c>
      <c r="B257" s="11" t="inlineStr">
        <is>
          <t>D</t>
        </is>
      </c>
      <c r="C257" s="3" t="n">
        <v>1</v>
      </c>
      <c r="D257" s="3" t="inlineStr">
        <is>
          <t>Install</t>
        </is>
      </c>
      <c r="E257" s="3" t="inlineStr">
        <is>
          <t>SENS-HALO-250</t>
        </is>
      </c>
      <c r="F257" s="3" t="inlineStr">
        <is>
          <t>Halo radius 250 m (smaller ecological footprint per module)</t>
        </is>
      </c>
      <c r="G257" s="3" t="n"/>
      <c r="H257" s="3" t="n"/>
      <c r="I257" s="3" t="n"/>
      <c r="J257" s="3" t="n"/>
      <c r="K257" s="3" t="n"/>
      <c r="L257" s="3" t="n"/>
      <c r="M257" s="3" t="n"/>
      <c r="N257" s="3" t="n"/>
      <c r="O257" s="3" t="n"/>
      <c r="P257" s="3" t="n"/>
      <c r="Q257" s="3" t="inlineStr">
        <is>
          <t>Halo radius</t>
        </is>
      </c>
      <c r="R257" s="3" t="inlineStr">
        <is>
          <t>Strategy &gt; Strategy: Install new structures
Installation &gt; Maximum budget per scenario (USD): 5,000,000
Installation &gt; Minimum budget per scenario (USD): 1,000,000
Installation &gt; How budgets are drawn: Uniform
Installation &gt; Halo radius (m): 250
Live solver / Search &gt; Number of scenarios to run: 100
Search &gt; Search algorithm: Random search
Search &gt; Random seed: 1,256</t>
        </is>
      </c>
      <c r="S257" s="3" t="inlineStr">
        <is>
          <t>D256_SENS-HALO-250.json</t>
        </is>
      </c>
      <c r="T257" s="3" t="n">
        <v>100</v>
      </c>
      <c r="U257" s="3" t="n">
        <v>1256</v>
      </c>
      <c r="V257" s="3" t="n">
        <v>988</v>
      </c>
      <c r="W257" s="3" t="n"/>
      <c r="X257" s="3">
        <f>ROUND((T257+1)*'Read me'!$C$14/60,1)</f>
        <v/>
      </c>
      <c r="Y257" s="8" t="n"/>
      <c r="Z257" s="8" t="inlineStr">
        <is>
          <t>Not started</t>
        </is>
      </c>
      <c r="AA257" s="8" t="n"/>
      <c r="AB257" s="8" t="n"/>
      <c r="AC257" s="8" t="n"/>
      <c r="AD257" s="8" t="n"/>
      <c r="AE257" s="8" t="n"/>
      <c r="AF257" s="8" t="n"/>
      <c r="AG257" s="8" t="n"/>
      <c r="AH257" s="8" t="n"/>
      <c r="AI257" s="8" t="n"/>
      <c r="AJ257" s="8">
        <f>IF(OR(AH257="",'Submission &amp; QC'!$C$18=""),"",IF(AND(ABS(AH257-'Submission &amp; QC'!$C$18)&lt;=0.0005*ABS('Submission &amp; QC'!$C$18),ABS(AI257-'Submission &amp; QC'!$C$19)&lt;=0.0005*ABS('Submission &amp; QC'!$C$19)),"Pass","Fail"))</f>
        <v/>
      </c>
      <c r="AK257" s="8" t="n"/>
      <c r="AL257" s="8" t="n"/>
    </row>
    <row r="258" ht="120" customHeight="1">
      <c r="A258" s="3" t="inlineStr">
        <is>
          <t>D257</t>
        </is>
      </c>
      <c r="B258" s="11" t="inlineStr">
        <is>
          <t>D</t>
        </is>
      </c>
      <c r="C258" s="3" t="n">
        <v>1</v>
      </c>
      <c r="D258" s="3" t="inlineStr">
        <is>
          <t>Install</t>
        </is>
      </c>
      <c r="E258" s="3" t="inlineStr">
        <is>
          <t>SENS-HALO-1000</t>
        </is>
      </c>
      <c r="F258" s="3" t="inlineStr">
        <is>
          <t>Halo radius 1,000 m (larger ecological footprint per module)</t>
        </is>
      </c>
      <c r="G258" s="3" t="n"/>
      <c r="H258" s="3" t="n"/>
      <c r="I258" s="3" t="n"/>
      <c r="J258" s="3" t="n"/>
      <c r="K258" s="3" t="n"/>
      <c r="L258" s="3" t="n"/>
      <c r="M258" s="3" t="n"/>
      <c r="N258" s="3" t="n"/>
      <c r="O258" s="3" t="n"/>
      <c r="P258" s="3" t="n"/>
      <c r="Q258" s="3" t="inlineStr">
        <is>
          <t>Halo radius</t>
        </is>
      </c>
      <c r="R258" s="3" t="inlineStr">
        <is>
          <t>Strategy &gt; Strategy: Install new structures
Installation &gt; Maximum budget per scenario (USD): 5,000,000
Installation &gt; Minimum budget per scenario (USD): 1,000,000
Installation &gt; How budgets are drawn: Uniform
Installation &gt; Halo radius (m): 1,000
Live solver / Search &gt; Number of scenarios to run: 100
Search &gt; Search algorithm: Random search
Search &gt; Random seed: 1,257</t>
        </is>
      </c>
      <c r="S258" s="3" t="inlineStr">
        <is>
          <t>D257_SENS-HALO-1000.json</t>
        </is>
      </c>
      <c r="T258" s="3" t="n">
        <v>100</v>
      </c>
      <c r="U258" s="3" t="n">
        <v>1257</v>
      </c>
      <c r="V258" s="3" t="n">
        <v>988</v>
      </c>
      <c r="W258" s="3" t="n"/>
      <c r="X258" s="3">
        <f>ROUND((T258+1)*'Read me'!$C$14/60,1)</f>
        <v/>
      </c>
      <c r="Y258" s="8" t="n"/>
      <c r="Z258" s="8" t="inlineStr">
        <is>
          <t>Not started</t>
        </is>
      </c>
      <c r="AA258" s="8" t="n"/>
      <c r="AB258" s="8" t="n"/>
      <c r="AC258" s="8" t="n"/>
      <c r="AD258" s="8" t="n"/>
      <c r="AE258" s="8" t="n"/>
      <c r="AF258" s="8" t="n"/>
      <c r="AG258" s="8" t="n"/>
      <c r="AH258" s="8" t="n"/>
      <c r="AI258" s="8" t="n"/>
      <c r="AJ258" s="8">
        <f>IF(OR(AH258="",'Submission &amp; QC'!$C$18=""),"",IF(AND(ABS(AH258-'Submission &amp; QC'!$C$18)&lt;=0.0005*ABS('Submission &amp; QC'!$C$18),ABS(AI258-'Submission &amp; QC'!$C$19)&lt;=0.0005*ABS('Submission &amp; QC'!$C$19)),"Pass","Fail"))</f>
        <v/>
      </c>
      <c r="AK258" s="8" t="n"/>
      <c r="AL258" s="8" t="n"/>
    </row>
    <row r="259" ht="120" customHeight="1">
      <c r="A259" s="3" t="inlineStr">
        <is>
          <t>D258</t>
        </is>
      </c>
      <c r="B259" s="11" t="inlineStr">
        <is>
          <t>D</t>
        </is>
      </c>
      <c r="C259" s="3" t="n">
        <v>2</v>
      </c>
      <c r="D259" s="3" t="inlineStr">
        <is>
          <t>Install</t>
        </is>
      </c>
      <c r="E259" s="3" t="inlineStr">
        <is>
          <t>SENS-COST-1500</t>
        </is>
      </c>
      <c r="F259" s="3" t="inlineStr">
        <is>
          <t>Module cost $1,500</t>
        </is>
      </c>
      <c r="G259" s="3" t="n"/>
      <c r="H259" s="3" t="n"/>
      <c r="I259" s="3" t="n"/>
      <c r="J259" s="3" t="n"/>
      <c r="K259" s="3" t="n"/>
      <c r="L259" s="3" t="n"/>
      <c r="M259" s="3" t="n"/>
      <c r="N259" s="3" t="n"/>
      <c r="O259" s="3" t="n"/>
      <c r="P259" s="3" t="n"/>
      <c r="Q259" s="3" t="inlineStr">
        <is>
          <t>Module cost</t>
        </is>
      </c>
      <c r="R259" s="3" t="inlineStr">
        <is>
          <t>Strategy &gt; Strategy: Install new structures
Installation &gt; Maximum budget per scenario (USD): 5,000,000
Installation &gt; Minimum budget per scenario (USD): 1,000,000
Installation &gt; How budgets are drawn: Uniform
Installation &gt; Cost per module (USD): 1,500
Live solver / Search &gt; Number of scenarios to run: 100
Search &gt; Search algorithm: Random search
Search &gt; Random seed: 1,258</t>
        </is>
      </c>
      <c r="S259" s="3" t="inlineStr">
        <is>
          <t>D258_SENS-COST-1500.json</t>
        </is>
      </c>
      <c r="T259" s="3" t="n">
        <v>100</v>
      </c>
      <c r="U259" s="3" t="n">
        <v>1258</v>
      </c>
      <c r="V259" s="3" t="n">
        <v>988</v>
      </c>
      <c r="W259" s="3" t="n"/>
      <c r="X259" s="3">
        <f>ROUND((T259+1)*'Read me'!$C$14/60,1)</f>
        <v/>
      </c>
      <c r="Y259" s="8" t="n"/>
      <c r="Z259" s="8" t="inlineStr">
        <is>
          <t>Not started</t>
        </is>
      </c>
      <c r="AA259" s="8" t="n"/>
      <c r="AB259" s="8" t="n"/>
      <c r="AC259" s="8" t="n"/>
      <c r="AD259" s="8" t="n"/>
      <c r="AE259" s="8" t="n"/>
      <c r="AF259" s="8" t="n"/>
      <c r="AG259" s="8" t="n"/>
      <c r="AH259" s="8" t="n"/>
      <c r="AI259" s="8" t="n"/>
      <c r="AJ259" s="8">
        <f>IF(OR(AH259="",'Submission &amp; QC'!$C$18=""),"",IF(AND(ABS(AH259-'Submission &amp; QC'!$C$18)&lt;=0.0005*ABS('Submission &amp; QC'!$C$18),ABS(AI259-'Submission &amp; QC'!$C$19)&lt;=0.0005*ABS('Submission &amp; QC'!$C$19)),"Pass","Fail"))</f>
        <v/>
      </c>
      <c r="AK259" s="8" t="n"/>
      <c r="AL259" s="8" t="n"/>
    </row>
    <row r="260" ht="120" customHeight="1">
      <c r="A260" s="3" t="inlineStr">
        <is>
          <t>D259</t>
        </is>
      </c>
      <c r="B260" s="11" t="inlineStr">
        <is>
          <t>D</t>
        </is>
      </c>
      <c r="C260" s="3" t="n">
        <v>2</v>
      </c>
      <c r="D260" s="3" t="inlineStr">
        <is>
          <t>Install</t>
        </is>
      </c>
      <c r="E260" s="3" t="inlineStr">
        <is>
          <t>SENS-COST-5000</t>
        </is>
      </c>
      <c r="F260" s="3" t="inlineStr">
        <is>
          <t>Module cost $5,000</t>
        </is>
      </c>
      <c r="G260" s="3" t="n"/>
      <c r="H260" s="3" t="n"/>
      <c r="I260" s="3" t="n"/>
      <c r="J260" s="3" t="n"/>
      <c r="K260" s="3" t="n"/>
      <c r="L260" s="3" t="n"/>
      <c r="M260" s="3" t="n"/>
      <c r="N260" s="3" t="n"/>
      <c r="O260" s="3" t="n"/>
      <c r="P260" s="3" t="n"/>
      <c r="Q260" s="3" t="inlineStr">
        <is>
          <t>Module cost</t>
        </is>
      </c>
      <c r="R260" s="3" t="inlineStr">
        <is>
          <t>Strategy &gt; Strategy: Install new structures
Installation &gt; Maximum budget per scenario (USD): 5,000,000
Installation &gt; Minimum budget per scenario (USD): 1,000,000
Installation &gt; How budgets are drawn: Uniform
Installation &gt; Cost per module (USD): 5,000
Live solver / Search &gt; Number of scenarios to run: 100
Search &gt; Search algorithm: Random search
Search &gt; Random seed: 1,259</t>
        </is>
      </c>
      <c r="S260" s="3" t="inlineStr">
        <is>
          <t>D259_SENS-COST-5000.json</t>
        </is>
      </c>
      <c r="T260" s="3" t="n">
        <v>100</v>
      </c>
      <c r="U260" s="3" t="n">
        <v>1259</v>
      </c>
      <c r="V260" s="3" t="n">
        <v>988</v>
      </c>
      <c r="W260" s="3" t="n"/>
      <c r="X260" s="3">
        <f>ROUND((T260+1)*'Read me'!$C$14/60,1)</f>
        <v/>
      </c>
      <c r="Y260" s="8" t="n"/>
      <c r="Z260" s="8" t="inlineStr">
        <is>
          <t>Not started</t>
        </is>
      </c>
      <c r="AA260" s="8" t="n"/>
      <c r="AB260" s="8" t="n"/>
      <c r="AC260" s="8" t="n"/>
      <c r="AD260" s="8" t="n"/>
      <c r="AE260" s="8" t="n"/>
      <c r="AF260" s="8" t="n"/>
      <c r="AG260" s="8" t="n"/>
      <c r="AH260" s="8" t="n"/>
      <c r="AI260" s="8" t="n"/>
      <c r="AJ260" s="8">
        <f>IF(OR(AH260="",'Submission &amp; QC'!$C$18=""),"",IF(AND(ABS(AH260-'Submission &amp; QC'!$C$18)&lt;=0.0005*ABS('Submission &amp; QC'!$C$18),ABS(AI260-'Submission &amp; QC'!$C$19)&lt;=0.0005*ABS('Submission &amp; QC'!$C$19)),"Pass","Fail"))</f>
        <v/>
      </c>
      <c r="AK260" s="8" t="n"/>
      <c r="AL260" s="8" t="n"/>
    </row>
    <row r="261" ht="120" customHeight="1">
      <c r="A261" s="3" t="inlineStr">
        <is>
          <t>D260</t>
        </is>
      </c>
      <c r="B261" s="11" t="inlineStr">
        <is>
          <t>D</t>
        </is>
      </c>
      <c r="C261" s="3" t="n">
        <v>2</v>
      </c>
      <c r="D261" s="3" t="inlineStr">
        <is>
          <t>Install</t>
        </is>
      </c>
      <c r="E261" s="3" t="inlineStr">
        <is>
          <t>SENS-DISC-0</t>
        </is>
      </c>
      <c r="F261" s="3" t="inlineStr">
        <is>
          <t>No batch discount</t>
        </is>
      </c>
      <c r="G261" s="3" t="n"/>
      <c r="H261" s="3" t="n"/>
      <c r="I261" s="3" t="n"/>
      <c r="J261" s="3" t="n"/>
      <c r="K261" s="3" t="n"/>
      <c r="L261" s="3" t="n"/>
      <c r="M261" s="3" t="n"/>
      <c r="N261" s="3" t="n"/>
      <c r="O261" s="3" t="n"/>
      <c r="P261" s="3" t="n"/>
      <c r="Q261" s="3" t="inlineStr">
        <is>
          <t>Batch discount</t>
        </is>
      </c>
      <c r="R261" s="3" t="inlineStr">
        <is>
          <t>Strategy &gt; Strategy: Install new structures
Installation &gt; Maximum budget per scenario (USD): 5,000,000
Installation &gt; Minimum budget per scenario (USD): 1,000,000
Installation &gt; How budgets are drawn: Uniform
Installation &gt; Max batch discount (0-1): 0
Live solver / Search &gt; Number of scenarios to run: 100
Search &gt; Search algorithm: Random search
Search &gt; Random seed: 1,260</t>
        </is>
      </c>
      <c r="S261" s="3" t="inlineStr">
        <is>
          <t>D260_SENS-DISC-0.json</t>
        </is>
      </c>
      <c r="T261" s="3" t="n">
        <v>100</v>
      </c>
      <c r="U261" s="3" t="n">
        <v>1260</v>
      </c>
      <c r="V261" s="3" t="n">
        <v>988</v>
      </c>
      <c r="W261" s="3" t="n"/>
      <c r="X261" s="3">
        <f>ROUND((T261+1)*'Read me'!$C$14/60,1)</f>
        <v/>
      </c>
      <c r="Y261" s="8" t="n"/>
      <c r="Z261" s="8" t="inlineStr">
        <is>
          <t>Not started</t>
        </is>
      </c>
      <c r="AA261" s="8" t="n"/>
      <c r="AB261" s="8" t="n"/>
      <c r="AC261" s="8" t="n"/>
      <c r="AD261" s="8" t="n"/>
      <c r="AE261" s="8" t="n"/>
      <c r="AF261" s="8" t="n"/>
      <c r="AG261" s="8" t="n"/>
      <c r="AH261" s="8" t="n"/>
      <c r="AI261" s="8" t="n"/>
      <c r="AJ261" s="8">
        <f>IF(OR(AH261="",'Submission &amp; QC'!$C$18=""),"",IF(AND(ABS(AH261-'Submission &amp; QC'!$C$18)&lt;=0.0005*ABS('Submission &amp; QC'!$C$18),ABS(AI261-'Submission &amp; QC'!$C$19)&lt;=0.0005*ABS('Submission &amp; QC'!$C$19)),"Pass","Fail"))</f>
        <v/>
      </c>
      <c r="AK261" s="8" t="n"/>
      <c r="AL261" s="8" t="n"/>
    </row>
    <row r="262" ht="120" customHeight="1">
      <c r="A262" s="3" t="inlineStr">
        <is>
          <t>D261</t>
        </is>
      </c>
      <c r="B262" s="11" t="inlineStr">
        <is>
          <t>D</t>
        </is>
      </c>
      <c r="C262" s="3" t="n">
        <v>2</v>
      </c>
      <c r="D262" s="3" t="inlineStr">
        <is>
          <t>Install</t>
        </is>
      </c>
      <c r="E262" s="3" t="inlineStr">
        <is>
          <t>SENS-DISC-50</t>
        </is>
      </c>
      <c r="F262" s="3" t="inlineStr">
        <is>
          <t>Batch discount up to 50%</t>
        </is>
      </c>
      <c r="G262" s="3" t="n"/>
      <c r="H262" s="3" t="n"/>
      <c r="I262" s="3" t="n"/>
      <c r="J262" s="3" t="n"/>
      <c r="K262" s="3" t="n"/>
      <c r="L262" s="3" t="n"/>
      <c r="M262" s="3" t="n"/>
      <c r="N262" s="3" t="n"/>
      <c r="O262" s="3" t="n"/>
      <c r="P262" s="3" t="n"/>
      <c r="Q262" s="3" t="inlineStr">
        <is>
          <t>Batch discount</t>
        </is>
      </c>
      <c r="R262" s="3" t="inlineStr">
        <is>
          <t>Strategy &gt; Strategy: Install new structures
Installation &gt; Maximum budget per scenario (USD): 5,000,000
Installation &gt; Minimum budget per scenario (USD): 1,000,000
Installation &gt; How budgets are drawn: Uniform
Installation &gt; Max batch discount (0-1): 0.5
Live solver / Search &gt; Number of scenarios to run: 100
Search &gt; Search algorithm: Random search
Search &gt; Random seed: 1,261</t>
        </is>
      </c>
      <c r="S262" s="3" t="inlineStr">
        <is>
          <t>D261_SENS-DISC-50.json</t>
        </is>
      </c>
      <c r="T262" s="3" t="n">
        <v>100</v>
      </c>
      <c r="U262" s="3" t="n">
        <v>1261</v>
      </c>
      <c r="V262" s="3" t="n">
        <v>988</v>
      </c>
      <c r="W262" s="3" t="n"/>
      <c r="X262" s="3">
        <f>ROUND((T262+1)*'Read me'!$C$14/60,1)</f>
        <v/>
      </c>
      <c r="Y262" s="8" t="n"/>
      <c r="Z262" s="8" t="inlineStr">
        <is>
          <t>Not started</t>
        </is>
      </c>
      <c r="AA262" s="8" t="n"/>
      <c r="AB262" s="8" t="n"/>
      <c r="AC262" s="8" t="n"/>
      <c r="AD262" s="8" t="n"/>
      <c r="AE262" s="8" t="n"/>
      <c r="AF262" s="8" t="n"/>
      <c r="AG262" s="8" t="n"/>
      <c r="AH262" s="8" t="n"/>
      <c r="AI262" s="8" t="n"/>
      <c r="AJ262" s="8">
        <f>IF(OR(AH262="",'Submission &amp; QC'!$C$18=""),"",IF(AND(ABS(AH262-'Submission &amp; QC'!$C$18)&lt;=0.0005*ABS('Submission &amp; QC'!$C$18),ABS(AI262-'Submission &amp; QC'!$C$19)&lt;=0.0005*ABS('Submission &amp; QC'!$C$19)),"Pass","Fail"))</f>
        <v/>
      </c>
      <c r="AK262" s="8" t="n"/>
      <c r="AL262" s="8" t="n"/>
    </row>
    <row r="263" ht="120" customHeight="1">
      <c r="A263" s="3" t="inlineStr">
        <is>
          <t>D262</t>
        </is>
      </c>
      <c r="B263" s="11" t="inlineStr">
        <is>
          <t>D</t>
        </is>
      </c>
      <c r="C263" s="3" t="n">
        <v>2</v>
      </c>
      <c r="D263" s="3" t="inlineStr">
        <is>
          <t>Install</t>
        </is>
      </c>
      <c r="E263" s="3" t="inlineStr">
        <is>
          <t>SENS-DROP-25</t>
        </is>
      </c>
      <c r="F263" s="3" t="inlineStr">
        <is>
          <t>At most 25 modules per drop (many small sites)</t>
        </is>
      </c>
      <c r="G263" s="3" t="n"/>
      <c r="H263" s="3" t="n"/>
      <c r="I263" s="3" t="n"/>
      <c r="J263" s="3" t="n"/>
      <c r="K263" s="3" t="n"/>
      <c r="L263" s="3" t="n"/>
      <c r="M263" s="3" t="n"/>
      <c r="N263" s="3" t="n"/>
      <c r="O263" s="3" t="n"/>
      <c r="P263" s="3" t="n"/>
      <c r="Q263" s="3" t="inlineStr">
        <is>
          <t>Modules per drop</t>
        </is>
      </c>
      <c r="R263" s="3" t="inlineStr">
        <is>
          <t>Strategy &gt; Strategy: Install new structures
Installation &gt; Maximum budget per scenario (USD): 5,000,000
Installation &gt; Minimum budget per scenario (USD): 1,000,000
Installation &gt; How budgets are drawn: Uniform
Installation &gt; Max modules per drop: 25
Live solver / Search &gt; Number of scenarios to run: 100
Search &gt; Search algorithm: Random search
Search &gt; Random seed: 1,262</t>
        </is>
      </c>
      <c r="S263" s="3" t="inlineStr">
        <is>
          <t>D262_SENS-DROP-25.json</t>
        </is>
      </c>
      <c r="T263" s="3" t="n">
        <v>100</v>
      </c>
      <c r="U263" s="3" t="n">
        <v>1262</v>
      </c>
      <c r="V263" s="3" t="n">
        <v>988</v>
      </c>
      <c r="W263" s="3" t="n"/>
      <c r="X263" s="3">
        <f>ROUND((T263+1)*'Read me'!$C$14/60,1)</f>
        <v/>
      </c>
      <c r="Y263" s="8" t="n"/>
      <c r="Z263" s="8" t="inlineStr">
        <is>
          <t>Not started</t>
        </is>
      </c>
      <c r="AA263" s="8" t="n"/>
      <c r="AB263" s="8" t="n"/>
      <c r="AC263" s="8" t="n"/>
      <c r="AD263" s="8" t="n"/>
      <c r="AE263" s="8" t="n"/>
      <c r="AF263" s="8" t="n"/>
      <c r="AG263" s="8" t="n"/>
      <c r="AH263" s="8" t="n"/>
      <c r="AI263" s="8" t="n"/>
      <c r="AJ263" s="8">
        <f>IF(OR(AH263="",'Submission &amp; QC'!$C$18=""),"",IF(AND(ABS(AH263-'Submission &amp; QC'!$C$18)&lt;=0.0005*ABS('Submission &amp; QC'!$C$18),ABS(AI263-'Submission &amp; QC'!$C$19)&lt;=0.0005*ABS('Submission &amp; QC'!$C$19)),"Pass","Fail"))</f>
        <v/>
      </c>
      <c r="AK263" s="8" t="n"/>
      <c r="AL263" s="8" t="n"/>
    </row>
    <row r="264" ht="120" customHeight="1">
      <c r="A264" s="3" t="inlineStr">
        <is>
          <t>D263</t>
        </is>
      </c>
      <c r="B264" s="11" t="inlineStr">
        <is>
          <t>D</t>
        </is>
      </c>
      <c r="C264" s="3" t="n">
        <v>2</v>
      </c>
      <c r="D264" s="3" t="inlineStr">
        <is>
          <t>Install</t>
        </is>
      </c>
      <c r="E264" s="3" t="inlineStr">
        <is>
          <t>SENS-DROP-250</t>
        </is>
      </c>
      <c r="F264" s="3" t="inlineStr">
        <is>
          <t>Up to 250 modules per drop (few large sites)</t>
        </is>
      </c>
      <c r="G264" s="3" t="n"/>
      <c r="H264" s="3" t="n"/>
      <c r="I264" s="3" t="n"/>
      <c r="J264" s="3" t="n"/>
      <c r="K264" s="3" t="n"/>
      <c r="L264" s="3" t="n"/>
      <c r="M264" s="3" t="n"/>
      <c r="N264" s="3" t="n"/>
      <c r="O264" s="3" t="n"/>
      <c r="P264" s="3" t="n"/>
      <c r="Q264" s="3" t="inlineStr">
        <is>
          <t>Modules per drop</t>
        </is>
      </c>
      <c r="R264" s="3" t="inlineStr">
        <is>
          <t>Strategy &gt; Strategy: Install new structures
Installation &gt; Maximum budget per scenario (USD): 5,000,000
Installation &gt; Minimum budget per scenario (USD): 1,000,000
Installation &gt; How budgets are drawn: Uniform
Installation &gt; Max modules per drop: 250
Live solver / Search &gt; Number of scenarios to run: 100
Search &gt; Search algorithm: Random search
Search &gt; Random seed: 1,263</t>
        </is>
      </c>
      <c r="S264" s="3" t="inlineStr">
        <is>
          <t>D263_SENS-DROP-250.json</t>
        </is>
      </c>
      <c r="T264" s="3" t="n">
        <v>100</v>
      </c>
      <c r="U264" s="3" t="n">
        <v>1263</v>
      </c>
      <c r="V264" s="3" t="n">
        <v>988</v>
      </c>
      <c r="W264" s="3" t="n"/>
      <c r="X264" s="3">
        <f>ROUND((T264+1)*'Read me'!$C$14/60,1)</f>
        <v/>
      </c>
      <c r="Y264" s="8" t="n"/>
      <c r="Z264" s="8" t="inlineStr">
        <is>
          <t>Not started</t>
        </is>
      </c>
      <c r="AA264" s="8" t="n"/>
      <c r="AB264" s="8" t="n"/>
      <c r="AC264" s="8" t="n"/>
      <c r="AD264" s="8" t="n"/>
      <c r="AE264" s="8" t="n"/>
      <c r="AF264" s="8" t="n"/>
      <c r="AG264" s="8" t="n"/>
      <c r="AH264" s="8" t="n"/>
      <c r="AI264" s="8" t="n"/>
      <c r="AJ264" s="8">
        <f>IF(OR(AH264="",'Submission &amp; QC'!$C$18=""),"",IF(AND(ABS(AH264-'Submission &amp; QC'!$C$18)&lt;=0.0005*ABS('Submission &amp; QC'!$C$18),ABS(AI264-'Submission &amp; QC'!$C$19)&lt;=0.0005*ABS('Submission &amp; QC'!$C$19)),"Pass","Fail"))</f>
        <v/>
      </c>
      <c r="AK264" s="8" t="n"/>
      <c r="AL264" s="8" t="n"/>
    </row>
    <row r="265" ht="120" customHeight="1">
      <c r="A265" s="3" t="inlineStr">
        <is>
          <t>D264</t>
        </is>
      </c>
      <c r="B265" s="11" t="inlineStr">
        <is>
          <t>D</t>
        </is>
      </c>
      <c r="C265" s="3" t="n">
        <v>2</v>
      </c>
      <c r="D265" s="3" t="inlineStr">
        <is>
          <t>Install</t>
        </is>
      </c>
      <c r="E265" s="3" t="inlineStr">
        <is>
          <t>SENS-FRAC-25</t>
        </is>
      </c>
      <c r="F265" s="3" t="inlineStr">
        <is>
          <t>Reef may cover at most 25% of a cell</t>
        </is>
      </c>
      <c r="G265" s="3" t="n"/>
      <c r="H265" s="3" t="n"/>
      <c r="I265" s="3" t="n"/>
      <c r="J265" s="3" t="n"/>
      <c r="K265" s="3" t="n"/>
      <c r="L265" s="3" t="n"/>
      <c r="M265" s="3" t="n"/>
      <c r="N265" s="3" t="n"/>
      <c r="O265" s="3" t="n"/>
      <c r="P265" s="3" t="n"/>
      <c r="Q265" s="3" t="inlineStr">
        <is>
          <t>Max reef share of a cell</t>
        </is>
      </c>
      <c r="R265" s="3" t="inlineStr">
        <is>
          <t>Strategy &gt; Strategy: Install new structures
Installation &gt; Maximum budget per scenario (USD): 5,000,000
Installation &gt; Minimum budget per scenario (USD): 1,000,000
Installation &gt; How budgets are drawn: Uniform
Installation &gt; Max reef share of a cell (0-1): 0.25
Live solver / Search &gt; Number of scenarios to run: 100
Search &gt; Search algorithm: Random search
Search &gt; Random seed: 1,264</t>
        </is>
      </c>
      <c r="S265" s="3" t="inlineStr">
        <is>
          <t>D264_SENS-FRAC-25.json</t>
        </is>
      </c>
      <c r="T265" s="3" t="n">
        <v>100</v>
      </c>
      <c r="U265" s="3" t="n">
        <v>1264</v>
      </c>
      <c r="V265" s="3" t="n">
        <v>988</v>
      </c>
      <c r="W265" s="3" t="n"/>
      <c r="X265" s="3">
        <f>ROUND((T265+1)*'Read me'!$C$14/60,1)</f>
        <v/>
      </c>
      <c r="Y265" s="8" t="n"/>
      <c r="Z265" s="8" t="inlineStr">
        <is>
          <t>Not started</t>
        </is>
      </c>
      <c r="AA265" s="8" t="n"/>
      <c r="AB265" s="8" t="n"/>
      <c r="AC265" s="8" t="n"/>
      <c r="AD265" s="8" t="n"/>
      <c r="AE265" s="8" t="n"/>
      <c r="AF265" s="8" t="n"/>
      <c r="AG265" s="8" t="n"/>
      <c r="AH265" s="8" t="n"/>
      <c r="AI265" s="8" t="n"/>
      <c r="AJ265" s="8">
        <f>IF(OR(AH265="",'Submission &amp; QC'!$C$18=""),"",IF(AND(ABS(AH265-'Submission &amp; QC'!$C$18)&lt;=0.0005*ABS('Submission &amp; QC'!$C$18),ABS(AI265-'Submission &amp; QC'!$C$19)&lt;=0.0005*ABS('Submission &amp; QC'!$C$19)),"Pass","Fail"))</f>
        <v/>
      </c>
      <c r="AK265" s="8" t="n"/>
      <c r="AL265" s="8" t="n"/>
    </row>
    <row r="266" ht="120" customHeight="1">
      <c r="A266" s="3" t="inlineStr">
        <is>
          <t>D265</t>
        </is>
      </c>
      <c r="B266" s="11" t="inlineStr">
        <is>
          <t>D</t>
        </is>
      </c>
      <c r="C266" s="3" t="n">
        <v>1</v>
      </c>
      <c r="D266" s="3" t="inlineStr">
        <is>
          <t>Install</t>
        </is>
      </c>
      <c r="E266" s="3" t="inlineStr">
        <is>
          <t>SENS-DISPL-none</t>
        </is>
      </c>
      <c r="F266" s="3" t="inlineStr">
        <is>
          <t>New reef does not displace natural habitat</t>
        </is>
      </c>
      <c r="G266" s="3" t="n"/>
      <c r="H266" s="3" t="n"/>
      <c r="I266" s="3" t="n"/>
      <c r="J266" s="3" t="n"/>
      <c r="K266" s="3" t="n"/>
      <c r="L266" s="3" t="n"/>
      <c r="M266" s="3" t="n"/>
      <c r="N266" s="3" t="n"/>
      <c r="O266" s="3" t="n"/>
      <c r="P266" s="3" t="n"/>
      <c r="Q266" s="3" t="inlineStr">
        <is>
          <t>Natural habitat under new reef</t>
        </is>
      </c>
      <c r="R266" s="3" t="inlineStr">
        <is>
          <t>Strategy &gt; Strategy: Install new structures
Installation &gt; Maximum budget per scenario (USD): 5,000,000
Installation &gt; Minimum budget per scenario (USD): 1,000,000
Installation &gt; How budgets are drawn: Uniform
Installation &gt; Natural habitat under new reef: Left unchanged
Live solver / Search &gt; Number of scenarios to run: 100
Search &gt; Search algorithm: Random search
Search &gt; Random seed: 1,265</t>
        </is>
      </c>
      <c r="S266" s="3" t="inlineStr">
        <is>
          <t>D265_SENS-DISPL-none.json</t>
        </is>
      </c>
      <c r="T266" s="3" t="n">
        <v>100</v>
      </c>
      <c r="U266" s="3" t="n">
        <v>1265</v>
      </c>
      <c r="V266" s="3" t="n">
        <v>988</v>
      </c>
      <c r="W266" s="3" t="n"/>
      <c r="X266" s="3">
        <f>ROUND((T266+1)*'Read me'!$C$14/60,1)</f>
        <v/>
      </c>
      <c r="Y266" s="8" t="n"/>
      <c r="Z266" s="8" t="inlineStr">
        <is>
          <t>Not started</t>
        </is>
      </c>
      <c r="AA266" s="8" t="n"/>
      <c r="AB266" s="8" t="n"/>
      <c r="AC266" s="8" t="n"/>
      <c r="AD266" s="8" t="n"/>
      <c r="AE266" s="8" t="n"/>
      <c r="AF266" s="8" t="n"/>
      <c r="AG266" s="8" t="n"/>
      <c r="AH266" s="8" t="n"/>
      <c r="AI266" s="8" t="n"/>
      <c r="AJ266" s="8">
        <f>IF(OR(AH266="",'Submission &amp; QC'!$C$18=""),"",IF(AND(ABS(AH266-'Submission &amp; QC'!$C$18)&lt;=0.0005*ABS('Submission &amp; QC'!$C$18),ABS(AI266-'Submission &amp; QC'!$C$19)&lt;=0.0005*ABS('Submission &amp; QC'!$C$19)),"Pass","Fail"))</f>
        <v/>
      </c>
      <c r="AK266" s="8" t="n"/>
      <c r="AL266" s="8" t="n"/>
    </row>
    <row r="267" ht="135" customHeight="1">
      <c r="A267" s="3" t="inlineStr">
        <is>
          <t>D266</t>
        </is>
      </c>
      <c r="B267" s="11" t="inlineStr">
        <is>
          <t>D</t>
        </is>
      </c>
      <c r="C267" s="3" t="n">
        <v>2</v>
      </c>
      <c r="D267" s="3" t="inlineStr">
        <is>
          <t>Install</t>
        </is>
      </c>
      <c r="E267" s="3" t="inlineStr">
        <is>
          <t>SENS-AVOID-rock</t>
        </is>
      </c>
      <c r="F267" s="3" t="inlineStr">
        <is>
          <t>Avoid cells with more than 50% natural hard bottom (rock)</t>
        </is>
      </c>
      <c r="G267" s="3" t="n"/>
      <c r="H267" s="3" t="n"/>
      <c r="I267" s="3" t="n"/>
      <c r="J267" s="3" t="n"/>
      <c r="K267" s="3" t="n"/>
      <c r="L267" s="3" t="n"/>
      <c r="M267" s="3" t="n"/>
      <c r="N267" s="3" t="n"/>
      <c r="O267" s="3" t="n"/>
      <c r="P267" s="3" t="n"/>
      <c r="Q267" s="3" t="inlineStr">
        <is>
          <t>Avoid habitats</t>
        </is>
      </c>
      <c r="R267" s="3" t="inlineStr">
        <is>
          <t>Strategy &gt; Strategy: Install new structures
Installation &gt; Maximum budget per scenario (USD): 5,000,000
Installation &gt; Minimum budget per scenario (USD): 1,000,000
Installation &gt; How budgets are drawn: Uniform
Installation &gt; Avoid cells rich in these natural habitats: rock
Installation &gt; ...when their combined fraction exceeds: 0.5
Live solver / Search &gt; Number of scenarios to run: 100
Search &gt; Search algorithm: Random search
Search &gt; Random seed: 1,266</t>
        </is>
      </c>
      <c r="S267" s="3" t="inlineStr">
        <is>
          <t>D266_SENS-AVOID-rock.json</t>
        </is>
      </c>
      <c r="T267" s="3" t="n">
        <v>100</v>
      </c>
      <c r="U267" s="3" t="n">
        <v>1266</v>
      </c>
      <c r="V267" s="3" t="n">
        <v>987</v>
      </c>
      <c r="W267" s="3" t="n"/>
      <c r="X267" s="3">
        <f>ROUND((T267+1)*'Read me'!$C$14/60,1)</f>
        <v/>
      </c>
      <c r="Y267" s="8" t="n"/>
      <c r="Z267" s="8" t="inlineStr">
        <is>
          <t>Not started</t>
        </is>
      </c>
      <c r="AA267" s="8" t="n"/>
      <c r="AB267" s="8" t="n"/>
      <c r="AC267" s="8" t="n"/>
      <c r="AD267" s="8" t="n"/>
      <c r="AE267" s="8" t="n"/>
      <c r="AF267" s="8" t="n"/>
      <c r="AG267" s="8" t="n"/>
      <c r="AH267" s="8" t="n"/>
      <c r="AI267" s="8" t="n"/>
      <c r="AJ267" s="8">
        <f>IF(OR(AH267="",'Submission &amp; QC'!$C$18=""),"",IF(AND(ABS(AH267-'Submission &amp; QC'!$C$18)&lt;=0.0005*ABS('Submission &amp; QC'!$C$18),ABS(AI267-'Submission &amp; QC'!$C$19)&lt;=0.0005*ABS('Submission &amp; QC'!$C$19)),"Pass","Fail"))</f>
        <v/>
      </c>
      <c r="AK267" s="8" t="n"/>
      <c r="AL267" s="8" t="n"/>
    </row>
    <row r="268" ht="135" customHeight="1">
      <c r="A268" s="3" t="inlineStr">
        <is>
          <t>D267</t>
        </is>
      </c>
      <c r="B268" s="11" t="inlineStr">
        <is>
          <t>D</t>
        </is>
      </c>
      <c r="C268" s="3" t="n">
        <v>2</v>
      </c>
      <c r="D268" s="3" t="inlineStr">
        <is>
          <t>Install</t>
        </is>
      </c>
      <c r="E268" s="3" t="inlineStr">
        <is>
          <t>SENS-AVOID-hard</t>
        </is>
      </c>
      <c r="F268" s="3" t="inlineStr">
        <is>
          <t>Avoid cells with more than 50% rock + gravel</t>
        </is>
      </c>
      <c r="G268" s="3" t="n"/>
      <c r="H268" s="3" t="n"/>
      <c r="I268" s="3" t="n"/>
      <c r="J268" s="3" t="n"/>
      <c r="K268" s="3" t="n"/>
      <c r="L268" s="3" t="n"/>
      <c r="M268" s="3" t="n"/>
      <c r="N268" s="3" t="n"/>
      <c r="O268" s="3" t="n"/>
      <c r="P268" s="3" t="n"/>
      <c r="Q268" s="3" t="inlineStr">
        <is>
          <t>Avoid habitats</t>
        </is>
      </c>
      <c r="R268" s="3" t="inlineStr">
        <is>
          <t>Strategy &gt; Strategy: Install new structures
Installation &gt; Maximum budget per scenario (USD): 5,000,000
Installation &gt; Minimum budget per scenario (USD): 1,000,000
Installation &gt; How budgets are drawn: Uniform
Installation &gt; Avoid cells rich in these natural habitats: rock, gravel
Installation &gt; ...when their combined fraction exceeds: 0.5
Live solver / Search &gt; Number of scenarios to run: 100
Search &gt; Search algorithm: Random search
Search &gt; Random seed: 1,267</t>
        </is>
      </c>
      <c r="S268" s="3" t="inlineStr">
        <is>
          <t>D267_SENS-AVOID-hard.json</t>
        </is>
      </c>
      <c r="T268" s="3" t="n">
        <v>100</v>
      </c>
      <c r="U268" s="3" t="n">
        <v>1267</v>
      </c>
      <c r="V268" s="3" t="n">
        <v>771</v>
      </c>
      <c r="W268" s="3" t="n"/>
      <c r="X268" s="3">
        <f>ROUND((T268+1)*'Read me'!$C$14/60,1)</f>
        <v/>
      </c>
      <c r="Y268" s="8" t="n"/>
      <c r="Z268" s="8" t="inlineStr">
        <is>
          <t>Not started</t>
        </is>
      </c>
      <c r="AA268" s="8" t="n"/>
      <c r="AB268" s="8" t="n"/>
      <c r="AC268" s="8" t="n"/>
      <c r="AD268" s="8" t="n"/>
      <c r="AE268" s="8" t="n"/>
      <c r="AF268" s="8" t="n"/>
      <c r="AG268" s="8" t="n"/>
      <c r="AH268" s="8" t="n"/>
      <c r="AI268" s="8" t="n"/>
      <c r="AJ268" s="8">
        <f>IF(OR(AH268="",'Submission &amp; QC'!$C$18=""),"",IF(AND(ABS(AH268-'Submission &amp; QC'!$C$18)&lt;=0.0005*ABS('Submission &amp; QC'!$C$18),ABS(AI268-'Submission &amp; QC'!$C$19)&lt;=0.0005*ABS('Submission &amp; QC'!$C$19)),"Pass","Fail"))</f>
        <v/>
      </c>
      <c r="AK268" s="8" t="n"/>
      <c r="AL268" s="8" t="n"/>
    </row>
    <row r="269" ht="120" customHeight="1">
      <c r="A269" s="3" t="inlineStr">
        <is>
          <t>D268</t>
        </is>
      </c>
      <c r="B269" s="11" t="inlineStr">
        <is>
          <t>D</t>
        </is>
      </c>
      <c r="C269" s="3" t="n">
        <v>2</v>
      </c>
      <c r="D269" s="3" t="inlineStr">
        <is>
          <t>Install</t>
        </is>
      </c>
      <c r="E269" s="3" t="inlineStr">
        <is>
          <t>SENS-BUFFER-2</t>
        </is>
      </c>
      <c r="F269" s="3" t="inlineStr">
        <is>
          <t>Keep 2 cells clear around existing structures</t>
        </is>
      </c>
      <c r="G269" s="3" t="n"/>
      <c r="H269" s="3" t="n"/>
      <c r="I269" s="3" t="n"/>
      <c r="J269" s="3" t="n"/>
      <c r="K269" s="3" t="n"/>
      <c r="L269" s="3" t="n"/>
      <c r="M269" s="3" t="n"/>
      <c r="N269" s="3" t="n"/>
      <c r="O269" s="3" t="n"/>
      <c r="P269" s="3" t="n"/>
      <c r="Q269" s="3" t="inlineStr">
        <is>
          <t>Buffer from existing structures</t>
        </is>
      </c>
      <c r="R269" s="3" t="inlineStr">
        <is>
          <t>Strategy &gt; Strategy: Install new structures
Installation &gt; Maximum budget per scenario (USD): 5,000,000
Installation &gt; Minimum budget per scenario (USD): 1,000,000
Installation &gt; How budgets are drawn: Uniform
Installation &gt; Buffer from existing structures (cells): 2
Live solver / Search &gt; Number of scenarios to run: 100
Search &gt; Search algorithm: Random search
Search &gt; Random seed: 1,268</t>
        </is>
      </c>
      <c r="S269" s="3" t="inlineStr">
        <is>
          <t>D268_SENS-BUFFER-2.json</t>
        </is>
      </c>
      <c r="T269" s="3" t="n">
        <v>100</v>
      </c>
      <c r="U269" s="3" t="n">
        <v>1268</v>
      </c>
      <c r="V269" s="3" t="n">
        <v>182</v>
      </c>
      <c r="W269" s="3" t="n"/>
      <c r="X269" s="3">
        <f>ROUND((T269+1)*'Read me'!$C$14/60,1)</f>
        <v/>
      </c>
      <c r="Y269" s="8" t="n"/>
      <c r="Z269" s="8" t="inlineStr">
        <is>
          <t>Not started</t>
        </is>
      </c>
      <c r="AA269" s="8" t="n"/>
      <c r="AB269" s="8" t="n"/>
      <c r="AC269" s="8" t="n"/>
      <c r="AD269" s="8" t="n"/>
      <c r="AE269" s="8" t="n"/>
      <c r="AF269" s="8" t="n"/>
      <c r="AG269" s="8" t="n"/>
      <c r="AH269" s="8" t="n"/>
      <c r="AI269" s="8" t="n"/>
      <c r="AJ269" s="8">
        <f>IF(OR(AH269="",'Submission &amp; QC'!$C$18=""),"",IF(AND(ABS(AH269-'Submission &amp; QC'!$C$18)&lt;=0.0005*ABS('Submission &amp; QC'!$C$18),ABS(AI269-'Submission &amp; QC'!$C$19)&lt;=0.0005*ABS('Submission &amp; QC'!$C$19)),"Pass","Fail"))</f>
        <v/>
      </c>
      <c r="AK269" s="8" t="n"/>
      <c r="AL269" s="8" t="n"/>
    </row>
    <row r="270" ht="120" customHeight="1">
      <c r="A270" s="3" t="inlineStr">
        <is>
          <t>D269</t>
        </is>
      </c>
      <c r="B270" s="11" t="inlineStr">
        <is>
          <t>D</t>
        </is>
      </c>
      <c r="C270" s="3" t="n">
        <v>3</v>
      </c>
      <c r="D270" s="3" t="inlineStr">
        <is>
          <t>Install</t>
        </is>
      </c>
      <c r="E270" s="3" t="inlineStr">
        <is>
          <t>SENS-EXCL-off</t>
        </is>
      </c>
      <c r="F270" s="3" t="inlineStr">
        <is>
          <t>Ignore the exclusions map (shows the cost of exclusion zones)</t>
        </is>
      </c>
      <c r="G270" s="3" t="n"/>
      <c r="H270" s="3" t="n"/>
      <c r="I270" s="3" t="n"/>
      <c r="J270" s="3" t="n"/>
      <c r="K270" s="3" t="n"/>
      <c r="L270" s="3" t="n"/>
      <c r="M270" s="3" t="n"/>
      <c r="N270" s="3" t="n"/>
      <c r="O270" s="3" t="n"/>
      <c r="P270" s="3" t="n"/>
      <c r="Q270" s="3" t="inlineStr">
        <is>
          <t>Exclusions</t>
        </is>
      </c>
      <c r="R270" s="3" t="inlineStr">
        <is>
          <t>Strategy &gt; Strategy: Install new structures
Installation &gt; Maximum budget per scenario (USD): 5,000,000
Installation &gt; Minimum budget per scenario (USD): 1,000,000
Installation &gt; How budgets are drawn: Uniform
Installation &gt; Respect exclusions map: unticked
Live solver / Search &gt; Number of scenarios to run: 100
Search &gt; Search algorithm: Random search
Search &gt; Random seed: 1,269</t>
        </is>
      </c>
      <c r="S270" s="3" t="inlineStr">
        <is>
          <t>D269_SENS-EXCL-off.json</t>
        </is>
      </c>
      <c r="T270" s="3" t="n">
        <v>100</v>
      </c>
      <c r="U270" s="3" t="n">
        <v>1269</v>
      </c>
      <c r="V270" s="3" t="n">
        <v>1590</v>
      </c>
      <c r="W270" s="3" t="n"/>
      <c r="X270" s="3">
        <f>ROUND((T270+1)*'Read me'!$C$14/60,1)</f>
        <v/>
      </c>
      <c r="Y270" s="8" t="n"/>
      <c r="Z270" s="8" t="inlineStr">
        <is>
          <t>Not started</t>
        </is>
      </c>
      <c r="AA270" s="8" t="n"/>
      <c r="AB270" s="8" t="n"/>
      <c r="AC270" s="8" t="n"/>
      <c r="AD270" s="8" t="n"/>
      <c r="AE270" s="8" t="n"/>
      <c r="AF270" s="8" t="n"/>
      <c r="AG270" s="8" t="n"/>
      <c r="AH270" s="8" t="n"/>
      <c r="AI270" s="8" t="n"/>
      <c r="AJ270" s="8">
        <f>IF(OR(AH270="",'Submission &amp; QC'!$C$18=""),"",IF(AND(ABS(AH270-'Submission &amp; QC'!$C$18)&lt;=0.0005*ABS('Submission &amp; QC'!$C$18),ABS(AI270-'Submission &amp; QC'!$C$19)&lt;=0.0005*ABS('Submission &amp; QC'!$C$19)),"Pass","Fail"))</f>
        <v/>
      </c>
      <c r="AK270" s="8" t="n"/>
      <c r="AL270" s="8" t="n"/>
    </row>
    <row r="271" ht="120" customHeight="1">
      <c r="A271" s="3" t="inlineStr">
        <is>
          <t>D270</t>
        </is>
      </c>
      <c r="B271" s="11" t="inlineStr">
        <is>
          <t>D</t>
        </is>
      </c>
      <c r="C271" s="3" t="n">
        <v>2</v>
      </c>
      <c r="D271" s="3" t="inlineStr">
        <is>
          <t>Install</t>
        </is>
      </c>
      <c r="E271" s="3" t="inlineStr">
        <is>
          <t>SENS-CLEAR-15</t>
        </is>
      </c>
      <c r="F271" s="3" t="inlineStr">
        <is>
          <t>Navigation clearance of 15 m above the crest (typical permit condition)</t>
        </is>
      </c>
      <c r="G271" s="3" t="n"/>
      <c r="H271" s="3" t="n"/>
      <c r="I271" s="3" t="n"/>
      <c r="J271" s="3" t="n"/>
      <c r="K271" s="3" t="n"/>
      <c r="L271" s="3" t="n"/>
      <c r="M271" s="3" t="n"/>
      <c r="N271" s="3" t="n"/>
      <c r="O271" s="3" t="n"/>
      <c r="P271" s="3" t="n"/>
      <c r="Q271" s="3" t="inlineStr">
        <is>
          <t>Min water above crest</t>
        </is>
      </c>
      <c r="R271" s="3" t="inlineStr">
        <is>
          <t>Strategy &gt; Strategy: Install new structures
Installation &gt; Maximum budget per scenario (USD): 5,000,000
Installation &gt; Minimum budget per scenario (USD): 1,000,000
Installation &gt; How budgets are drawn: Uniform
Installation &gt; Min water above crest (m): 15
Live solver / Search &gt; Number of scenarios to run: 100
Search &gt; Search algorithm: Random search
Search &gt; Random seed: 1,270</t>
        </is>
      </c>
      <c r="S271" s="3" t="inlineStr">
        <is>
          <t>D270_SENS-CLEAR-15.json</t>
        </is>
      </c>
      <c r="T271" s="3" t="n">
        <v>100</v>
      </c>
      <c r="U271" s="3" t="n">
        <v>1270</v>
      </c>
      <c r="V271" s="3" t="n">
        <v>938</v>
      </c>
      <c r="W271" s="3" t="n"/>
      <c r="X271" s="3">
        <f>ROUND((T271+1)*'Read me'!$C$14/60,1)</f>
        <v/>
      </c>
      <c r="Y271" s="8" t="n"/>
      <c r="Z271" s="8" t="inlineStr">
        <is>
          <t>Not started</t>
        </is>
      </c>
      <c r="AA271" s="8" t="n"/>
      <c r="AB271" s="8" t="n"/>
      <c r="AC271" s="8" t="n"/>
      <c r="AD271" s="8" t="n"/>
      <c r="AE271" s="8" t="n"/>
      <c r="AF271" s="8" t="n"/>
      <c r="AG271" s="8" t="n"/>
      <c r="AH271" s="8" t="n"/>
      <c r="AI271" s="8" t="n"/>
      <c r="AJ271" s="8">
        <f>IF(OR(AH271="",'Submission &amp; QC'!$C$18=""),"",IF(AND(ABS(AH271-'Submission &amp; QC'!$C$18)&lt;=0.0005*ABS('Submission &amp; QC'!$C$18),ABS(AI271-'Submission &amp; QC'!$C$19)&lt;=0.0005*ABS('Submission &amp; QC'!$C$19)),"Pass","Fail"))</f>
        <v/>
      </c>
      <c r="AK271" s="8" t="n"/>
      <c r="AL271" s="8" t="n"/>
    </row>
    <row r="272" ht="120" customHeight="1">
      <c r="A272" s="3" t="inlineStr">
        <is>
          <t>D271</t>
        </is>
      </c>
      <c r="B272" s="11" t="inlineStr">
        <is>
          <t>D</t>
        </is>
      </c>
      <c r="C272" s="3" t="n">
        <v>2</v>
      </c>
      <c r="D272" s="3" t="inlineStr">
        <is>
          <t>Install</t>
        </is>
      </c>
      <c r="E272" s="3" t="inlineStr">
        <is>
          <t>SENS-DEPTHCOST-0.5</t>
        </is>
      </c>
      <c r="F272" s="3" t="inlineStr">
        <is>
          <t>Deeper deployment costs more (depth cost factor 0.5, reference 30 m)</t>
        </is>
      </c>
      <c r="G272" s="3" t="n"/>
      <c r="H272" s="3" t="n"/>
      <c r="I272" s="3" t="n"/>
      <c r="J272" s="3" t="n"/>
      <c r="K272" s="3" t="n"/>
      <c r="L272" s="3" t="n"/>
      <c r="M272" s="3" t="n"/>
      <c r="N272" s="3" t="n"/>
      <c r="O272" s="3" t="n"/>
      <c r="P272" s="3" t="n"/>
      <c r="Q272" s="3" t="inlineStr">
        <is>
          <t>Depth cost factor</t>
        </is>
      </c>
      <c r="R272" s="3" t="inlineStr">
        <is>
          <t>Strategy &gt; Strategy: Install new structures
Installation &gt; Maximum budget per scenario (USD): 5,000,000
Installation &gt; Minimum budget per scenario (USD): 1,000,000
Installation &gt; How budgets are drawn: Uniform
Installation &gt; Depth cost factor: 0.5
Live solver / Search &gt; Number of scenarios to run: 100
Search &gt; Search algorithm: Random search
Search &gt; Random seed: 1,271</t>
        </is>
      </c>
      <c r="S272" s="3" t="inlineStr">
        <is>
          <t>D271_SENS-DEPTHCOST-0.5.json</t>
        </is>
      </c>
      <c r="T272" s="3" t="n">
        <v>100</v>
      </c>
      <c r="U272" s="3" t="n">
        <v>1271</v>
      </c>
      <c r="V272" s="3" t="n">
        <v>988</v>
      </c>
      <c r="W272" s="3" t="n"/>
      <c r="X272" s="3">
        <f>ROUND((T272+1)*'Read me'!$C$14/60,1)</f>
        <v/>
      </c>
      <c r="Y272" s="8" t="n"/>
      <c r="Z272" s="8" t="inlineStr">
        <is>
          <t>Not started</t>
        </is>
      </c>
      <c r="AA272" s="8" t="n"/>
      <c r="AB272" s="8" t="n"/>
      <c r="AC272" s="8" t="n"/>
      <c r="AD272" s="8" t="n"/>
      <c r="AE272" s="8" t="n"/>
      <c r="AF272" s="8" t="n"/>
      <c r="AG272" s="8" t="n"/>
      <c r="AH272" s="8" t="n"/>
      <c r="AI272" s="8" t="n"/>
      <c r="AJ272" s="8">
        <f>IF(OR(AH272="",'Submission &amp; QC'!$C$18=""),"",IF(AND(ABS(AH272-'Submission &amp; QC'!$C$18)&lt;=0.0005*ABS('Submission &amp; QC'!$C$18),ABS(AI272-'Submission &amp; QC'!$C$19)&lt;=0.0005*ABS('Submission &amp; QC'!$C$19)),"Pass","Fail"))</f>
        <v/>
      </c>
      <c r="AK272" s="8" t="n"/>
      <c r="AL272" s="8" t="n"/>
    </row>
    <row r="273" ht="120" customHeight="1">
      <c r="A273" s="3" t="inlineStr">
        <is>
          <t>D272</t>
        </is>
      </c>
      <c r="B273" s="11" t="inlineStr">
        <is>
          <t>D</t>
        </is>
      </c>
      <c r="C273" s="3" t="n">
        <v>3</v>
      </c>
      <c r="D273" s="3" t="inlineStr">
        <is>
          <t>Install</t>
        </is>
      </c>
      <c r="E273" s="3" t="inlineStr">
        <is>
          <t>SENS-SAMPLE-low</t>
        </is>
      </c>
      <c r="F273" s="3" t="inlineStr">
        <is>
          <t>Budgets drawn favouring the low end (skew 3)</t>
        </is>
      </c>
      <c r="G273" s="3" t="n"/>
      <c r="H273" s="3" t="n"/>
      <c r="I273" s="3" t="n"/>
      <c r="J273" s="3" t="n"/>
      <c r="K273" s="3" t="n"/>
      <c r="L273" s="3" t="n"/>
      <c r="M273" s="3" t="n"/>
      <c r="N273" s="3" t="n"/>
      <c r="O273" s="3" t="n"/>
      <c r="P273" s="3" t="n"/>
      <c r="Q273" s="3" t="inlineStr">
        <is>
          <t>Budget sampling</t>
        </is>
      </c>
      <c r="R273" s="3" t="inlineStr">
        <is>
          <t>Strategy &gt; Strategy: Install new structures
Installation &gt; Maximum budget per scenario (USD): 5,000,000
Installation &gt; Minimum budget per scenario (USD): 1,000,000
Installation &gt; How budgets are drawn: Favour smaller budgets
Installation &gt; Strength: 3
Live solver / Search &gt; Number of scenarios to run: 100
Search &gt; Search algorithm: Random search
Search &gt; Random seed: 1,272</t>
        </is>
      </c>
      <c r="S273" s="3" t="inlineStr">
        <is>
          <t>D272_SENS-SAMPLE-low.json</t>
        </is>
      </c>
      <c r="T273" s="3" t="n">
        <v>100</v>
      </c>
      <c r="U273" s="3" t="n">
        <v>1272</v>
      </c>
      <c r="V273" s="3" t="n">
        <v>988</v>
      </c>
      <c r="W273" s="3" t="n"/>
      <c r="X273" s="3">
        <f>ROUND((T273+1)*'Read me'!$C$14/60,1)</f>
        <v/>
      </c>
      <c r="Y273" s="8" t="n"/>
      <c r="Z273" s="8" t="inlineStr">
        <is>
          <t>Not started</t>
        </is>
      </c>
      <c r="AA273" s="8" t="n"/>
      <c r="AB273" s="8" t="n"/>
      <c r="AC273" s="8" t="n"/>
      <c r="AD273" s="8" t="n"/>
      <c r="AE273" s="8" t="n"/>
      <c r="AF273" s="8" t="n"/>
      <c r="AG273" s="8" t="n"/>
      <c r="AH273" s="8" t="n"/>
      <c r="AI273" s="8" t="n"/>
      <c r="AJ273" s="8">
        <f>IF(OR(AH273="",'Submission &amp; QC'!$C$18=""),"",IF(AND(ABS(AH273-'Submission &amp; QC'!$C$18)&lt;=0.0005*ABS('Submission &amp; QC'!$C$18),ABS(AI273-'Submission &amp; QC'!$C$19)&lt;=0.0005*ABS('Submission &amp; QC'!$C$19)),"Pass","Fail"))</f>
        <v/>
      </c>
      <c r="AK273" s="8" t="n"/>
      <c r="AL273" s="8" t="n"/>
    </row>
    <row r="274" ht="105" customHeight="1">
      <c r="A274" s="3" t="inlineStr">
        <is>
          <t>D273</t>
        </is>
      </c>
      <c r="B274" s="11" t="inlineStr">
        <is>
          <t>D</t>
        </is>
      </c>
      <c r="C274" s="3" t="n">
        <v>3</v>
      </c>
      <c r="D274" s="3" t="inlineStr">
        <is>
          <t>Install</t>
        </is>
      </c>
      <c r="E274" s="3" t="inlineStr">
        <is>
          <t>SENS-SAMPLE-log</t>
        </is>
      </c>
      <c r="F274" s="3" t="inlineStr">
        <is>
          <t>Budgets drawn log-uniformly</t>
        </is>
      </c>
      <c r="G274" s="3" t="n"/>
      <c r="H274" s="3" t="n"/>
      <c r="I274" s="3" t="n"/>
      <c r="J274" s="3" t="n"/>
      <c r="K274" s="3" t="n"/>
      <c r="L274" s="3" t="n"/>
      <c r="M274" s="3" t="n"/>
      <c r="N274" s="3" t="n"/>
      <c r="O274" s="3" t="n"/>
      <c r="P274" s="3" t="n"/>
      <c r="Q274" s="3" t="inlineStr">
        <is>
          <t>Budget sampling</t>
        </is>
      </c>
      <c r="R274" s="3" t="inlineStr">
        <is>
          <t>Strategy &gt; Strategy: Install new structures
Installation &gt; Maximum budget per scenario (USD): 5,000,000
Installation &gt; Minimum budget per scenario (USD): 1,000,000
Installation &gt; How budgets are drawn: Log-uniform
Live solver / Search &gt; Number of scenarios to run: 100
Search &gt; Search algorithm: Random search
Search &gt; Random seed: 1,273</t>
        </is>
      </c>
      <c r="S274" s="3" t="inlineStr">
        <is>
          <t>D273_SENS-SAMPLE-log.json</t>
        </is>
      </c>
      <c r="T274" s="3" t="n">
        <v>100</v>
      </c>
      <c r="U274" s="3" t="n">
        <v>1273</v>
      </c>
      <c r="V274" s="3" t="n">
        <v>988</v>
      </c>
      <c r="W274" s="3" t="n"/>
      <c r="X274" s="3">
        <f>ROUND((T274+1)*'Read me'!$C$14/60,1)</f>
        <v/>
      </c>
      <c r="Y274" s="8" t="n"/>
      <c r="Z274" s="8" t="inlineStr">
        <is>
          <t>Not started</t>
        </is>
      </c>
      <c r="AA274" s="8" t="n"/>
      <c r="AB274" s="8" t="n"/>
      <c r="AC274" s="8" t="n"/>
      <c r="AD274" s="8" t="n"/>
      <c r="AE274" s="8" t="n"/>
      <c r="AF274" s="8" t="n"/>
      <c r="AG274" s="8" t="n"/>
      <c r="AH274" s="8" t="n"/>
      <c r="AI274" s="8" t="n"/>
      <c r="AJ274" s="8">
        <f>IF(OR(AH274="",'Submission &amp; QC'!$C$18=""),"",IF(AND(ABS(AH274-'Submission &amp; QC'!$C$18)&lt;=0.0005*ABS('Submission &amp; QC'!$C$18),ABS(AI274-'Submission &amp; QC'!$C$19)&lt;=0.0005*ABS('Submission &amp; QC'!$C$19)),"Pass","Fail"))</f>
        <v/>
      </c>
      <c r="AK274" s="8" t="n"/>
      <c r="AL274" s="8" t="n"/>
    </row>
    <row r="275" ht="120" customHeight="1">
      <c r="A275" s="3" t="inlineStr">
        <is>
          <t>D274</t>
        </is>
      </c>
      <c r="B275" s="11" t="inlineStr">
        <is>
          <t>D</t>
        </is>
      </c>
      <c r="C275" s="3" t="n">
        <v>2</v>
      </c>
      <c r="D275" s="3" t="inlineStr">
        <is>
          <t>Install</t>
        </is>
      </c>
      <c r="E275" s="3" t="inlineStr">
        <is>
          <t>SENS-SEARCH-evo</t>
        </is>
      </c>
      <c r="F275" s="3" t="inlineStr">
        <is>
          <t>Evolutionary search (50 random runs, then mutation of Pareto-front runs; 150 runs)</t>
        </is>
      </c>
      <c r="G275" s="3" t="n"/>
      <c r="H275" s="3" t="n"/>
      <c r="I275" s="3" t="n"/>
      <c r="J275" s="3" t="n"/>
      <c r="K275" s="3" t="n"/>
      <c r="L275" s="3" t="n"/>
      <c r="M275" s="3" t="n"/>
      <c r="N275" s="3" t="n"/>
      <c r="O275" s="3" t="n"/>
      <c r="P275" s="3" t="n"/>
      <c r="Q275" s="3" t="inlineStr">
        <is>
          <t>Search algorithm</t>
        </is>
      </c>
      <c r="R275" s="3" t="inlineStr">
        <is>
          <t>Strategy &gt; Strategy: Install new structures
Installation &gt; Maximum budget per scenario (USD): 5,000,000
Installation &gt; Minimum budget per scenario (USD): 1,000,000
Installation &gt; How budgets are drawn: Uniform
Search &gt; Search algorithm: Evolutionary
Search &gt; Random runs before mutating: 50
Live solver / Search &gt; Number of scenarios to run: 150
Search &gt; Random seed: 1,274</t>
        </is>
      </c>
      <c r="S275" s="3" t="inlineStr">
        <is>
          <t>D274_SENS-SEARCH-evo.json</t>
        </is>
      </c>
      <c r="T275" s="3" t="n">
        <v>150</v>
      </c>
      <c r="U275" s="3" t="n">
        <v>1274</v>
      </c>
      <c r="V275" s="3" t="n">
        <v>988</v>
      </c>
      <c r="W275" s="3" t="n"/>
      <c r="X275" s="3">
        <f>ROUND((T275+1)*'Read me'!$C$14/60,1)</f>
        <v/>
      </c>
      <c r="Y275" s="8" t="n"/>
      <c r="Z275" s="8" t="inlineStr">
        <is>
          <t>Not started</t>
        </is>
      </c>
      <c r="AA275" s="8" t="n"/>
      <c r="AB275" s="8" t="n"/>
      <c r="AC275" s="8" t="n"/>
      <c r="AD275" s="8" t="n"/>
      <c r="AE275" s="8" t="n"/>
      <c r="AF275" s="8" t="n"/>
      <c r="AG275" s="8" t="n"/>
      <c r="AH275" s="8" t="n"/>
      <c r="AI275" s="8" t="n"/>
      <c r="AJ275" s="8">
        <f>IF(OR(AH275="",'Submission &amp; QC'!$C$18=""),"",IF(AND(ABS(AH275-'Submission &amp; QC'!$C$18)&lt;=0.0005*ABS('Submission &amp; QC'!$C$18),ABS(AI275-'Submission &amp; QC'!$C$19)&lt;=0.0005*ABS('Submission &amp; QC'!$C$19)),"Pass","Fail"))</f>
        <v/>
      </c>
      <c r="AK275" s="8" t="n"/>
      <c r="AL275" s="8" t="n"/>
    </row>
    <row r="276" ht="120" customHeight="1">
      <c r="A276" s="3" t="inlineStr">
        <is>
          <t>D275</t>
        </is>
      </c>
      <c r="B276" s="11" t="inlineStr">
        <is>
          <t>D</t>
        </is>
      </c>
      <c r="C276" s="3" t="n">
        <v>3</v>
      </c>
      <c r="D276" s="3" t="inlineStr">
        <is>
          <t>Install</t>
        </is>
      </c>
      <c r="E276" s="3" t="inlineStr">
        <is>
          <t>SENS-EVAL-3</t>
        </is>
      </c>
      <c r="F276" s="3" t="inlineStr">
        <is>
          <t>Objectives averaged over the last 3 years</t>
        </is>
      </c>
      <c r="G276" s="3" t="n"/>
      <c r="H276" s="3" t="n"/>
      <c r="I276" s="3" t="n"/>
      <c r="J276" s="3" t="n"/>
      <c r="K276" s="3" t="n"/>
      <c r="L276" s="3" t="n"/>
      <c r="M276" s="3" t="n"/>
      <c r="N276" s="3" t="n"/>
      <c r="O276" s="3" t="n"/>
      <c r="P276" s="3" t="n"/>
      <c r="Q276" s="3" t="inlineStr">
        <is>
          <t>Years averaged</t>
        </is>
      </c>
      <c r="R276" s="3" t="inlineStr">
        <is>
          <t>Strategy &gt; Strategy: Install new structures
Installation &gt; Maximum budget per scenario (USD): 5,000,000
Installation &gt; Minimum budget per scenario (USD): 1,000,000
Installation &gt; How budgets are drawn: Uniform
Objectives &gt; Average over the last N years: 3
Live solver / Search &gt; Number of scenarios to run: 100
Search &gt; Search algorithm: Random search
Search &gt; Random seed: 1,275</t>
        </is>
      </c>
      <c r="S276" s="3" t="inlineStr">
        <is>
          <t>D275_SENS-EVAL-3.json</t>
        </is>
      </c>
      <c r="T276" s="3" t="n">
        <v>100</v>
      </c>
      <c r="U276" s="3" t="n">
        <v>1275</v>
      </c>
      <c r="V276" s="3" t="n">
        <v>988</v>
      </c>
      <c r="W276" s="3" t="n"/>
      <c r="X276" s="3">
        <f>ROUND((T276+1)*'Read me'!$C$14/60,1)</f>
        <v/>
      </c>
      <c r="Y276" s="8" t="n"/>
      <c r="Z276" s="8" t="inlineStr">
        <is>
          <t>Not started</t>
        </is>
      </c>
      <c r="AA276" s="8" t="n"/>
      <c r="AB276" s="8" t="n"/>
      <c r="AC276" s="8" t="n"/>
      <c r="AD276" s="8" t="n"/>
      <c r="AE276" s="8" t="n"/>
      <c r="AF276" s="8" t="n"/>
      <c r="AG276" s="8" t="n"/>
      <c r="AH276" s="8" t="n"/>
      <c r="AI276" s="8" t="n"/>
      <c r="AJ276" s="8">
        <f>IF(OR(AH276="",'Submission &amp; QC'!$C$18=""),"",IF(AND(ABS(AH276-'Submission &amp; QC'!$C$18)&lt;=0.0005*ABS('Submission &amp; QC'!$C$18),ABS(AI276-'Submission &amp; QC'!$C$19)&lt;=0.0005*ABS('Submission &amp; QC'!$C$19)),"Pass","Fail"))</f>
        <v/>
      </c>
      <c r="AK276" s="8" t="n"/>
      <c r="AL276" s="8" t="n"/>
    </row>
    <row r="277" ht="120" customHeight="1">
      <c r="A277" s="3" t="inlineStr">
        <is>
          <t>D276</t>
        </is>
      </c>
      <c r="B277" s="11" t="inlineStr">
        <is>
          <t>D</t>
        </is>
      </c>
      <c r="C277" s="3" t="n">
        <v>3</v>
      </c>
      <c r="D277" s="3" t="inlineStr">
        <is>
          <t>Install</t>
        </is>
      </c>
      <c r="E277" s="3" t="inlineStr">
        <is>
          <t>SENS-EVAL-10</t>
        </is>
      </c>
      <c r="F277" s="3" t="inlineStr">
        <is>
          <t>Objectives averaged over the last 10 years</t>
        </is>
      </c>
      <c r="G277" s="3" t="n"/>
      <c r="H277" s="3" t="n"/>
      <c r="I277" s="3" t="n"/>
      <c r="J277" s="3" t="n"/>
      <c r="K277" s="3" t="n"/>
      <c r="L277" s="3" t="n"/>
      <c r="M277" s="3" t="n"/>
      <c r="N277" s="3" t="n"/>
      <c r="O277" s="3" t="n"/>
      <c r="P277" s="3" t="n"/>
      <c r="Q277" s="3" t="inlineStr">
        <is>
          <t>Years averaged</t>
        </is>
      </c>
      <c r="R277" s="3" t="inlineStr">
        <is>
          <t>Strategy &gt; Strategy: Install new structures
Installation &gt; Maximum budget per scenario (USD): 5,000,000
Installation &gt; Minimum budget per scenario (USD): 1,000,000
Installation &gt; How budgets are drawn: Uniform
Objectives &gt; Average over the last N years: 10
Live solver / Search &gt; Number of scenarios to run: 100
Search &gt; Search algorithm: Random search
Search &gt; Random seed: 1,276</t>
        </is>
      </c>
      <c r="S277" s="3" t="inlineStr">
        <is>
          <t>D276_SENS-EVAL-10.json</t>
        </is>
      </c>
      <c r="T277" s="3" t="n">
        <v>100</v>
      </c>
      <c r="U277" s="3" t="n">
        <v>1276</v>
      </c>
      <c r="V277" s="3" t="n">
        <v>988</v>
      </c>
      <c r="W277" s="3" t="n"/>
      <c r="X277" s="3">
        <f>ROUND((T277+1)*'Read me'!$C$14/60,1)</f>
        <v/>
      </c>
      <c r="Y277" s="8" t="n"/>
      <c r="Z277" s="8" t="inlineStr">
        <is>
          <t>Not started</t>
        </is>
      </c>
      <c r="AA277" s="8" t="n"/>
      <c r="AB277" s="8" t="n"/>
      <c r="AC277" s="8" t="n"/>
      <c r="AD277" s="8" t="n"/>
      <c r="AE277" s="8" t="n"/>
      <c r="AF277" s="8" t="n"/>
      <c r="AG277" s="8" t="n"/>
      <c r="AH277" s="8" t="n"/>
      <c r="AI277" s="8" t="n"/>
      <c r="AJ277" s="8">
        <f>IF(OR(AH277="",'Submission &amp; QC'!$C$18=""),"",IF(AND(ABS(AH277-'Submission &amp; QC'!$C$18)&lt;=0.0005*ABS('Submission &amp; QC'!$C$18),ABS(AI277-'Submission &amp; QC'!$C$19)&lt;=0.0005*ABS('Submission &amp; QC'!$C$19)),"Pass","Fail"))</f>
        <v/>
      </c>
      <c r="AK277" s="8" t="n"/>
      <c r="AL277" s="8" t="n"/>
    </row>
    <row r="278" ht="120" customHeight="1">
      <c r="A278" s="3" t="inlineStr">
        <is>
          <t>D277</t>
        </is>
      </c>
      <c r="B278" s="11" t="inlineStr">
        <is>
          <t>D</t>
        </is>
      </c>
      <c r="C278" s="3" t="n">
        <v>3</v>
      </c>
      <c r="D278" s="3" t="inlineStr">
        <is>
          <t>Install</t>
        </is>
      </c>
      <c r="E278" s="3" t="inlineStr">
        <is>
          <t>SENS-BASE-map</t>
        </is>
      </c>
      <c r="F278" s="3" t="inlineStr">
        <is>
          <t>Existing reefs taken from the structure map instead of reeflocations.csv</t>
        </is>
      </c>
      <c r="G278" s="3" t="n"/>
      <c r="H278" s="3" t="n"/>
      <c r="I278" s="3" t="n"/>
      <c r="J278" s="3" t="n"/>
      <c r="K278" s="3" t="n"/>
      <c r="L278" s="3" t="n"/>
      <c r="M278" s="3" t="n"/>
      <c r="N278" s="3" t="n"/>
      <c r="O278" s="3" t="n"/>
      <c r="P278" s="3" t="n"/>
      <c r="Q278" s="3" t="inlineStr">
        <is>
          <t>Existing reef baseline</t>
        </is>
      </c>
      <c r="R278" s="3" t="inlineStr">
        <is>
          <t>Strategy &gt; Strategy: Install new structures
Installation &gt; Maximum budget per scenario (USD): 5,000,000
Installation &gt; Minimum budget per scenario (USD): 1,000,000
Installation &gt; How budgets are drawn: Uniform
Model &amp; run &gt; Existing reefs: From the structure map
Live solver / Search &gt; Number of scenarios to run: 100
Search &gt; Search algorithm: Random search
Search &gt; Random seed: 1,277</t>
        </is>
      </c>
      <c r="S278" s="3" t="inlineStr">
        <is>
          <t>D277_SENS-BASE-map.json</t>
        </is>
      </c>
      <c r="T278" s="3" t="n">
        <v>100</v>
      </c>
      <c r="U278" s="3" t="n">
        <v>1277</v>
      </c>
      <c r="V278" s="3" t="n">
        <v>988</v>
      </c>
      <c r="W278" s="3" t="n"/>
      <c r="X278" s="3">
        <f>ROUND((T278+1)*'Read me'!$C$14/60,1)</f>
        <v/>
      </c>
      <c r="Y278" s="8" t="n"/>
      <c r="Z278" s="8" t="inlineStr">
        <is>
          <t>Not started</t>
        </is>
      </c>
      <c r="AA278" s="8" t="n"/>
      <c r="AB278" s="8" t="n"/>
      <c r="AC278" s="8" t="n"/>
      <c r="AD278" s="8" t="n"/>
      <c r="AE278" s="8" t="n"/>
      <c r="AF278" s="8" t="n"/>
      <c r="AG278" s="8" t="n"/>
      <c r="AH278" s="8" t="n"/>
      <c r="AI278" s="8" t="n"/>
      <c r="AJ278" s="8">
        <f>IF(OR(AH278="",'Submission &amp; QC'!$C$18=""),"",IF(AND(ABS(AH278-'Submission &amp; QC'!$C$18)&lt;=0.0005*ABS('Submission &amp; QC'!$C$18),ABS(AI278-'Submission &amp; QC'!$C$19)&lt;=0.0005*ABS('Submission &amp; QC'!$C$19)),"Pass","Fail"))</f>
        <v/>
      </c>
      <c r="AK278" s="8" t="n"/>
      <c r="AL278" s="8" t="n"/>
    </row>
    <row r="279" ht="120" customHeight="1">
      <c r="A279" s="3" t="inlineStr">
        <is>
          <t>D278</t>
        </is>
      </c>
      <c r="B279" s="11" t="inlineStr">
        <is>
          <t>D</t>
        </is>
      </c>
      <c r="C279" s="3" t="n">
        <v>3</v>
      </c>
      <c r="D279" s="3" t="inlineStr">
        <is>
          <t>Install</t>
        </is>
      </c>
      <c r="E279" s="3" t="inlineStr">
        <is>
          <t>SENS-COVER-one</t>
        </is>
      </c>
      <c r="F279" s="3" t="inlineStr">
        <is>
          <t>Each existing structure cell given one module's cover</t>
        </is>
      </c>
      <c r="G279" s="3" t="n"/>
      <c r="H279" s="3" t="n"/>
      <c r="I279" s="3" t="n"/>
      <c r="J279" s="3" t="n"/>
      <c r="K279" s="3" t="n"/>
      <c r="L279" s="3" t="n"/>
      <c r="M279" s="3" t="n"/>
      <c r="N279" s="3" t="n"/>
      <c r="O279" s="3" t="n"/>
      <c r="P279" s="3" t="n"/>
      <c r="Q279" s="3" t="inlineStr">
        <is>
          <t>Existing structure cover</t>
        </is>
      </c>
      <c r="R279" s="3" t="inlineStr">
        <is>
          <t>Strategy &gt; Strategy: Install new structures
Installation &gt; Maximum budget per scenario (USD): 5,000,000
Installation &gt; Minimum budget per scenario (USD): 1,000,000
Installation &gt; How budgets are drawn: Uniform
Model &amp; run &gt; Cover of each existing structure cell: One module's cover
Live solver / Search &gt; Number of scenarios to run: 100
Search &gt; Search algorithm: Random search
Search &gt; Random seed: 1,278</t>
        </is>
      </c>
      <c r="S279" s="3" t="inlineStr">
        <is>
          <t>D278_SENS-COVER-one.json</t>
        </is>
      </c>
      <c r="T279" s="3" t="n">
        <v>100</v>
      </c>
      <c r="U279" s="3" t="n">
        <v>1278</v>
      </c>
      <c r="V279" s="3" t="n">
        <v>988</v>
      </c>
      <c r="W279" s="3" t="n"/>
      <c r="X279" s="3">
        <f>ROUND((T279+1)*'Read me'!$C$14/60,1)</f>
        <v/>
      </c>
      <c r="Y279" s="8" t="n"/>
      <c r="Z279" s="8" t="inlineStr">
        <is>
          <t>Not started</t>
        </is>
      </c>
      <c r="AA279" s="8" t="n"/>
      <c r="AB279" s="8" t="n"/>
      <c r="AC279" s="8" t="n"/>
      <c r="AD279" s="8" t="n"/>
      <c r="AE279" s="8" t="n"/>
      <c r="AF279" s="8" t="n"/>
      <c r="AG279" s="8" t="n"/>
      <c r="AH279" s="8" t="n"/>
      <c r="AI279" s="8" t="n"/>
      <c r="AJ279" s="8">
        <f>IF(OR(AH279="",'Submission &amp; QC'!$C$18=""),"",IF(AND(ABS(AH279-'Submission &amp; QC'!$C$18)&lt;=0.0005*ABS('Submission &amp; QC'!$C$18),ABS(AI279-'Submission &amp; QC'!$C$19)&lt;=0.0005*ABS('Submission &amp; QC'!$C$19)),"Pass","Fail"))</f>
        <v/>
      </c>
      <c r="AK279" s="8" t="n"/>
      <c r="AL279" s="8" t="n"/>
    </row>
  </sheetData>
  <autoFilter ref="A1:AL279"/>
  <conditionalFormatting sqref="Z2:Z279">
    <cfRule type="cellIs" priority="1" operator="equal" dxfId="0">
      <formula>"Done - uploaded"</formula>
    </cfRule>
    <cfRule type="cellIs" priority="2" operator="equal" dxfId="1">
      <formula>"QC passed"</formula>
    </cfRule>
    <cfRule type="cellIs" priority="3" operator="equal" dxfId="2">
      <formula>"Running"</formula>
    </cfRule>
    <cfRule type="cellIs" priority="4" operator="equal" dxfId="3">
      <formula>"Claimed"</formula>
    </cfRule>
    <cfRule type="cellIs" priority="5" operator="equal" dxfId="4">
      <formula>"QC failed - rerun"</formula>
    </cfRule>
    <cfRule type="cellIs" priority="6" operator="equal" dxfId="5">
      <formula>"Problem"</formula>
    </cfRule>
  </conditionalFormatting>
  <conditionalFormatting sqref="AJ2:AJ279">
    <cfRule type="cellIs" priority="7" operator="equal" dxfId="5">
      <formula>"Fail"</formula>
    </cfRule>
    <cfRule type="cellIs" priority="8" operator="equal" dxfId="0">
      <formula>"Pass"</formula>
    </cfRule>
  </conditionalFormatting>
  <dataValidations count="2">
    <dataValidation sqref="Z2:Z279" showDropDown="0" showInputMessage="0" showErrorMessage="0" allowBlank="1" type="list">
      <formula1>"Not started,Claimed,Running,Done - uploaded,QC passed,QC failed - rerun,Problem"</formula1>
    </dataValidation>
    <dataValidation sqref="AJ2:AJ279" showDropDown="0" showInputMessage="0" showErrorMessage="0" allowBlank="1" type="list">
      <formula1>"Pass,Fail"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45" customWidth="1" min="4" max="4"/>
    <col width="60" customWidth="1" min="5" max="5"/>
    <col width="80" customWidth="1" min="6" max="6"/>
  </cols>
  <sheetData>
    <row r="1">
      <c r="A1" s="6" t="inlineStr">
        <is>
          <t>Block</t>
        </is>
      </c>
      <c r="B1" s="6" t="inlineStr">
        <is>
          <t>Factor</t>
        </is>
      </c>
      <c r="C1" s="6" t="inlineStr">
        <is>
          <t>Level</t>
        </is>
      </c>
      <c r="D1" s="6" t="inlineStr">
        <is>
          <t>Meaning</t>
        </is>
      </c>
      <c r="E1" s="6" t="inlineStr">
        <is>
          <t>Setup panel &gt; field: value</t>
        </is>
      </c>
      <c r="F1" s="6" t="inlineStr">
        <is>
          <t>Rationale and source</t>
        </is>
      </c>
    </row>
    <row r="2"/>
    <row r="3">
      <c r="A3" s="3" t="inlineStr">
        <is>
          <t>A, C</t>
        </is>
      </c>
      <c r="B3" s="3" t="inlineStr">
        <is>
          <t>Zone</t>
        </is>
      </c>
      <c r="C3" s="3" t="inlineStr">
        <is>
          <t>Region</t>
        </is>
      </c>
      <c r="D3" s="3" t="inlineStr">
        <is>
          <t>Whole model area</t>
        </is>
      </c>
      <c r="E3" s="3" t="inlineStr">
        <is>
          <t>(no longitude limits)</t>
        </is>
      </c>
      <c r="F3" s="3" t="inlineStr">
        <is>
          <t>Baseline: the full NGoM domain (988 eligible installation cells, 314 existing structure cells).</t>
        </is>
      </c>
    </row>
    <row r="4">
      <c r="A4" s="3" t="inlineStr">
        <is>
          <t>A, B, C</t>
        </is>
      </c>
      <c r="B4" s="3" t="inlineStr">
        <is>
          <t>Zone</t>
        </is>
      </c>
      <c r="C4" s="3" t="inlineStr">
        <is>
          <t>AL</t>
        </is>
      </c>
      <c r="D4" s="3" t="inlineStr">
        <is>
          <t>Alabama: west of the Perdido River</t>
        </is>
      </c>
      <c r="E4" s="3" t="inlineStr">
        <is>
          <t>Installation and/or Decommissioning &gt; East lon: -87.51</t>
        </is>
      </c>
      <c r="F4" s="3" t="inlineStr">
        <is>
          <t>The AL-FL state line (Perdido River, about 87.5 W) coincides with the boundary between grid columns 19 and 20, which is also the edge of the Alabama reef zone used for the existing-reef baseline. Alabama manages large artificial reef zones offshore of Baldwin and Mobile counties (ADCNR).</t>
        </is>
      </c>
    </row>
    <row r="5">
      <c r="A5" s="3" t="inlineStr">
        <is>
          <t>A, B, C</t>
        </is>
      </c>
      <c r="B5" s="3" t="inlineStr">
        <is>
          <t>Zone</t>
        </is>
      </c>
      <c r="C5" s="3" t="inlineStr">
        <is>
          <t>FL</t>
        </is>
      </c>
      <c r="D5" s="3" t="inlineStr">
        <is>
          <t>Florida panhandle: east of the Perdido River</t>
        </is>
      </c>
      <c r="E5" s="3" t="inlineStr">
        <is>
          <t>Installation and/or Decommissioning &gt; West lon: -87.51</t>
        </is>
      </c>
      <c r="F5" s="3" t="inlineStr">
        <is>
          <t>Florida panhandle reef sites (Escambia to Bay counties) permitted under FWC; the source of reeflocations.csv.</t>
        </is>
      </c>
    </row>
    <row r="6">
      <c r="A6" s="3" t="inlineStr">
        <is>
          <t>A</t>
        </is>
      </c>
      <c r="B6" s="3" t="inlineStr">
        <is>
          <t>Depth band</t>
        </is>
      </c>
      <c r="C6" s="3" t="inlineStr">
        <is>
          <t>Any</t>
        </is>
      </c>
      <c r="D6" s="3" t="inlineStr">
        <is>
          <t>All eligible depths (10-100 m in this grid)</t>
        </is>
      </c>
      <c r="E6" s="3" t="inlineStr">
        <is>
          <t>(no depth limits)</t>
        </is>
      </c>
      <c r="F6" s="3" t="inlineStr">
        <is>
          <t>Eligible installation cells span 10-100 m (median 36 m).</t>
        </is>
      </c>
    </row>
    <row r="7">
      <c r="A7" s="3" t="inlineStr">
        <is>
          <t>A</t>
        </is>
      </c>
      <c r="B7" s="3" t="inlineStr">
        <is>
          <t>Depth band</t>
        </is>
      </c>
      <c r="C7" s="3" t="inlineStr">
        <is>
          <t>Shallow</t>
        </is>
      </c>
      <c r="D7" s="3" t="inlineStr">
        <is>
          <t>10-30 m</t>
        </is>
      </c>
      <c r="E7" s="3" t="inlineStr">
        <is>
          <t>Installation &gt; Min depth (m): 10; Max depth (m): 30</t>
        </is>
      </c>
      <c r="F7" s="3" t="inlineStr">
        <is>
          <t>Nearshore permitted reef sites; panhandle permits list depths from about 18 to 300 ft (5.5-91 m). 330 eligible cells.</t>
        </is>
      </c>
    </row>
    <row r="8">
      <c r="A8" s="3" t="inlineStr">
        <is>
          <t>A</t>
        </is>
      </c>
      <c r="B8" s="3" t="inlineStr">
        <is>
          <t>Depth band</t>
        </is>
      </c>
      <c r="C8" s="3" t="inlineStr">
        <is>
          <t>Mid</t>
        </is>
      </c>
      <c r="D8" s="3" t="inlineStr">
        <is>
          <t>30-60 m</t>
        </is>
      </c>
      <c r="E8" s="3" t="inlineStr">
        <is>
          <t>Installation &gt; Min depth (m): 30; Max depth (m): 60</t>
        </is>
      </c>
      <c r="F8" s="3" t="inlineStr">
        <is>
          <t>Mid-shelf, where most large-area reef sites and red snapper habitat lie. 489 eligible cells.</t>
        </is>
      </c>
    </row>
    <row r="9">
      <c r="A9" s="3" t="inlineStr">
        <is>
          <t>A</t>
        </is>
      </c>
      <c r="B9" s="3" t="inlineStr">
        <is>
          <t>Depth band</t>
        </is>
      </c>
      <c r="C9" s="3" t="inlineStr">
        <is>
          <t>Deep</t>
        </is>
      </c>
      <c r="D9" s="3" t="inlineStr">
        <is>
          <t>60-100 m</t>
        </is>
      </c>
      <c r="E9" s="3" t="inlineStr">
        <is>
          <t>Installation &gt; Min depth (m): 60; Max depth (m): 100</t>
        </is>
      </c>
      <c r="F9" s="3" t="inlineStr">
        <is>
          <t>Outer shelf; costlier and less accessible to recreational anglers. 202 eligible cells (57 in Alabama).</t>
        </is>
      </c>
    </row>
    <row r="10">
      <c r="A10" s="3" t="inlineStr">
        <is>
          <t>A</t>
        </is>
      </c>
      <c r="B10" s="3" t="inlineStr">
        <is>
          <t>Module type</t>
        </is>
      </c>
      <c r="C10" s="3" t="inlineStr">
        <is>
          <t>Std</t>
        </is>
      </c>
      <c r="D10" s="3" t="inlineStr">
        <is>
          <t>Standard prefabricated concrete module: $2,500 deployed, 6 m2 footprint, 3 m tall</t>
        </is>
      </c>
      <c r="E10" s="3" t="inlineStr">
        <is>
          <t>(defaults)</t>
        </is>
      </c>
      <c r="F10" s="3" t="inlineStr">
        <is>
          <t>Deployed costs for prefabricated concrete modules in NW Florida are roughly $2,200-4,500 each (Bay County 2014: $2,200; FWC 2017-21: about $3,200 average for 3,607 modules; Okaloosa 2024: about $4,500). Default of structure_optimization.R.</t>
        </is>
      </c>
    </row>
    <row r="11">
      <c r="A11" s="3" t="inlineStr">
        <is>
          <t>A</t>
        </is>
      </c>
      <c r="B11" s="3" t="inlineStr">
        <is>
          <t>Module type</t>
        </is>
      </c>
      <c r="C11" s="3" t="inlineStr">
        <is>
          <t>Large</t>
        </is>
      </c>
      <c r="D11" s="3" t="inlineStr">
        <is>
          <t>Large module (super-pyramid class): $12,000, 20 m2, 6 m tall</t>
        </is>
      </c>
      <c r="E11" s="3" t="inlineStr">
        <is>
          <t>Installation &gt; Cost per module (USD): 12,000; Footprint (m2): 20; Height (m): 6</t>
        </is>
      </c>
      <c r="F11" s="3" t="inlineStr">
        <is>
          <t>ASSUMPTION to confirm with the coordinator/vendor quotes: larger, taller units cost more per module but add more relief and cover per drop.</t>
        </is>
      </c>
    </row>
    <row r="12">
      <c r="A12" s="3" t="inlineStr">
        <is>
          <t>A</t>
        </is>
      </c>
      <c r="B12" s="3" t="inlineStr">
        <is>
          <t>Layout</t>
        </is>
      </c>
      <c r="C12" s="3" t="inlineStr">
        <is>
          <t>Disp</t>
        </is>
      </c>
      <c r="D12" s="3" t="inlineStr">
        <is>
          <t>Dispersed: cells chosen without regard to neighbours</t>
        </is>
      </c>
      <c r="E12" s="3" t="inlineStr">
        <is>
          <t>Installation &gt; Favour cells next to existing modules: unticked</t>
        </is>
      </c>
      <c r="F12" s="3" t="inlineStr">
        <is>
          <t>Default random placement.</t>
        </is>
      </c>
    </row>
    <row r="13">
      <c r="A13" s="3" t="inlineStr">
        <is>
          <t>A</t>
        </is>
      </c>
      <c r="B13" s="3" t="inlineStr">
        <is>
          <t>Layout</t>
        </is>
      </c>
      <c r="C13" s="3" t="inlineStr">
        <is>
          <t>Clust</t>
        </is>
      </c>
      <c r="D13" s="3" t="inlineStr">
        <is>
          <t>Clustered: favour cells next to existing modules</t>
        </is>
      </c>
      <c r="E13" s="3" t="inlineStr">
        <is>
          <t>Installation &gt; Favour cells next to existing modules: ticked; Connectivity bonus: 10</t>
        </is>
      </c>
      <c r="F13" s="3" t="inlineStr">
        <is>
          <t>Tests whether aggregating reef (larger reef complexes, halo overlap) outperforms spreading it.</t>
        </is>
      </c>
    </row>
    <row r="14">
      <c r="A14" s="3" t="inlineStr">
        <is>
          <t>A, C</t>
        </is>
      </c>
      <c r="B14" s="3" t="inlineStr">
        <is>
          <t>Budget band</t>
        </is>
      </c>
      <c r="C14" s="3" t="inlineStr">
        <is>
          <t>Small</t>
        </is>
      </c>
      <c r="D14" s="3" t="inlineStr">
        <is>
          <t>$0.1-1 M per scenario</t>
        </is>
      </c>
      <c r="E14" s="3" t="inlineStr">
        <is>
          <t>Installation &gt; Minimum budget: 100,000; Maximum budget: 1,000,000</t>
        </is>
      </c>
      <c r="F14" s="3" t="inlineStr">
        <is>
          <t>Typical single-county or single-grant project (e.g. Okaloosa 2024 NRDA project $1.26 M).</t>
        </is>
      </c>
    </row>
    <row r="15">
      <c r="A15" s="3" t="inlineStr">
        <is>
          <t>A, C</t>
        </is>
      </c>
      <c r="B15" s="3" t="inlineStr">
        <is>
          <t>Budget band</t>
        </is>
      </c>
      <c r="C15" s="3" t="inlineStr">
        <is>
          <t>Medium</t>
        </is>
      </c>
      <c r="D15" s="3" t="inlineStr">
        <is>
          <t>$1-5 M</t>
        </is>
      </c>
      <c r="E15" s="3" t="inlineStr">
        <is>
          <t>Installation &gt; Minimum budget: 1,000,000; Maximum budget: 5,000,000</t>
        </is>
      </c>
      <c r="F15" s="3" t="inlineStr">
        <is>
          <t>Multi-site state programme year.</t>
        </is>
      </c>
    </row>
    <row r="16">
      <c r="A16" s="3" t="inlineStr">
        <is>
          <t>A, C</t>
        </is>
      </c>
      <c r="B16" s="3" t="inlineStr">
        <is>
          <t>Budget band</t>
        </is>
      </c>
      <c r="C16" s="3" t="inlineStr">
        <is>
          <t>Large</t>
        </is>
      </c>
      <c r="D16" s="3" t="inlineStr">
        <is>
          <t>$5-15 M</t>
        </is>
      </c>
      <c r="E16" s="3" t="inlineStr">
        <is>
          <t>Installation &gt; Minimum budget: 5,000,000; Maximum budget: 15,000,000</t>
        </is>
      </c>
      <c r="F16" s="3" t="inlineStr">
        <is>
          <t>Regional restoration programme scale (FWC NRDA Phase III: about $11.5 M for 3,607 modules). Bands do not overlap, so pooled bands cover $0.1-15 M evenly.</t>
        </is>
      </c>
    </row>
    <row r="17">
      <c r="A17" s="3" t="inlineStr">
        <is>
          <t>B</t>
        </is>
      </c>
      <c r="B17" s="3" t="inlineStr">
        <is>
          <t>Selection</t>
        </is>
      </c>
      <c r="C17" s="3" t="inlineStr">
        <is>
          <t>Random / Shallowest / Deepest</t>
        </is>
      </c>
      <c r="D17" s="3" t="inlineStr">
        <is>
          <t>Which existing structures are removed first</t>
        </is>
      </c>
      <c r="E17" s="3" t="inlineStr">
        <is>
          <t>Decommissioning &gt; Selection preference</t>
        </is>
      </c>
      <c r="F17" s="3" t="inlineStr">
        <is>
          <t>Removal priorities a manager might choose: shallow structures are cheaper to remove; deep ones may conflict least with fishing.</t>
        </is>
      </c>
    </row>
    <row r="18">
      <c r="A18" s="3" t="inlineStr">
        <is>
          <t>B, C</t>
        </is>
      </c>
      <c r="B18" s="3" t="inlineStr">
        <is>
          <t>Removal</t>
        </is>
      </c>
      <c r="C18" s="3" t="inlineStr">
        <is>
          <t>Full</t>
        </is>
      </c>
      <c r="D18" s="3" t="inlineStr">
        <is>
          <t>Whole structure removed; $50,000 + $1,000 per metre depth</t>
        </is>
      </c>
      <c r="E18" s="3" t="inlineStr">
        <is>
          <t>Decommissioning &gt; Fraction removed: 1; Cost: Depth-based; Fixed cost: 50,000; USD per metre: 1,000</t>
        </is>
      </c>
      <c r="F18" s="3" t="inlineStr">
        <is>
          <t>Removal cost rises with depth (BSEE-era Gulf removal cost studies show costs increasing steeply with water depth).</t>
        </is>
      </c>
    </row>
    <row r="19">
      <c r="A19" s="3" t="inlineStr">
        <is>
          <t>B, C</t>
        </is>
      </c>
      <c r="B19" s="3" t="inlineStr">
        <is>
          <t>Removal</t>
        </is>
      </c>
      <c r="C19" s="3" t="inlineStr">
        <is>
          <t>Partial</t>
        </is>
      </c>
      <c r="D19" s="3" t="inlineStr">
        <is>
          <t>Toppling / partial removal: half the structure removed; 60% of the full-removal cost</t>
        </is>
      </c>
      <c r="E19" s="3" t="inlineStr">
        <is>
          <t>Decommissioning &gt; Fraction removed: 0.5; Fixed cost: 30,000; USD per metre: 600</t>
        </is>
      </c>
      <c r="F19" s="3" t="inlineStr">
        <is>
          <t>Reef-in-place options (toppling, partial removal) are reported to save roughly 30-50% of full-removal cost.</t>
        </is>
      </c>
    </row>
    <row r="20">
      <c r="A20" s="3" t="inlineStr">
        <is>
          <t>B</t>
        </is>
      </c>
      <c r="B20" s="3" t="inlineStr">
        <is>
          <t>Freed area becomes</t>
        </is>
      </c>
      <c r="C20" s="3" t="inlineStr">
        <is>
          <t>Prop / Sand</t>
        </is>
      </c>
      <c r="D20" s="3" t="inlineStr">
        <is>
          <t>Natural habitat that replaces removed structure</t>
        </is>
      </c>
      <c r="E20" s="3" t="inlineStr">
        <is>
          <t>Decommissioning &gt; Freed area becomes</t>
        </is>
      </c>
      <c r="F20" s="3" t="inlineStr">
        <is>
          <t>Proportional restores the cell's existing mix; sand represents the soft bottom most removals leave.</t>
        </is>
      </c>
    </row>
    <row r="21">
      <c r="A21" s="3" t="inlineStr">
        <is>
          <t>B</t>
        </is>
      </c>
      <c r="B21" s="3" t="inlineStr">
        <is>
          <t>Removal count</t>
        </is>
      </c>
      <c r="C21" s="3" t="inlineStr">
        <is>
          <t>Few / Many</t>
        </is>
      </c>
      <c r="D21" s="3" t="inlineStr">
        <is>
          <t>1-10 or 11-50 removals per scenario</t>
        </is>
      </c>
      <c r="E21" s="3" t="inlineStr">
        <is>
          <t>Decommissioning &gt; Min removals / Max removals</t>
        </is>
      </c>
      <c r="F21" s="3" t="inlineStr">
        <is>
          <t>314 existing structure cells (196 Alabama, 118 Florida). Removal budget set to $10 M so that the count, not the budget, limits removals.</t>
        </is>
      </c>
    </row>
    <row r="22">
      <c r="A22" s="3" t="inlineStr">
        <is>
          <t>C</t>
        </is>
      </c>
      <c r="B22" s="3" t="inlineStr">
        <is>
          <t>Shared budget</t>
        </is>
      </c>
      <c r="C22" s="3" t="inlineStr">
        <is>
          <t>Yes / No</t>
        </is>
      </c>
      <c r="D22" s="3" t="inlineStr">
        <is>
          <t>Removals paid from the installation budget, or from a separate $5 M budget</t>
        </is>
      </c>
      <c r="E22" s="3" t="inlineStr">
        <is>
          <t>Strategy &gt; Shared budget</t>
        </is>
      </c>
      <c r="F22" s="3" t="inlineStr">
        <is>
          <t>Tests whether money spent removing structures is better spent installing new ones.</t>
        </is>
      </c>
    </row>
    <row r="23">
      <c r="A23" s="3" t="inlineStr">
        <is>
          <t>A-D</t>
        </is>
      </c>
      <c r="B23" s="3" t="inlineStr">
        <is>
          <t>Search</t>
        </is>
      </c>
      <c r="C23" s="3" t="inlineStr">
        <is>
          <t>Random, 100 runs</t>
        </is>
      </c>
      <c r="D23" s="3" t="inlineStr">
        <is>
          <t>Random search, 100 layouts plus the status quo; fixed seed</t>
        </is>
      </c>
      <c r="E23" s="3" t="inlineStr">
        <is>
          <t>Search &gt; Search algorithm: Random search; Live solver &gt; Number of scenarios: 100; Random seed: as listed</t>
        </is>
      </c>
      <c r="F23" s="3" t="inlineStr">
        <is>
          <t>Unbiased samples that can be pooled across contributors and used for top/bottom-10% cell analyses (evolutionary runs copy their parents and would bias them).</t>
        </is>
      </c>
    </row>
    <row r="24">
      <c r="A24" s="3" t="inlineStr">
        <is>
          <t>D</t>
        </is>
      </c>
      <c r="B24" s="3" t="inlineStr">
        <is>
          <t>Sensitivity (one at a time)</t>
        </is>
      </c>
      <c r="C24" s="3" t="inlineStr">
        <is>
          <t>see Scenarios D253-D278</t>
        </is>
      </c>
      <c r="D24" s="3" t="inlineStr">
        <is>
          <t>Halo radius, module cost, batch discount, modules per drop, reef share, displacement, habitat avoidance, buffer, exclusions, navigation clearance, depth cost, budget sampling, search algorithm, years averaged, existing-reef baseline, existing cover; plus 3 replicates of the reference</t>
        </is>
      </c>
      <c r="E24" s="3" t="inlineStr">
        <is>
          <t>Reference: whole area, any depth, standard module, dispersed, $1-5 M</t>
        </is>
      </c>
      <c r="F24" s="3" t="inlineStr">
        <is>
          <t>Halo radius is uncertain: telemetry puts red snapper on average about 26 m (SD 35 m) from artificial reefs, but forage halos extend much further, so 250, 500 (default) and 1,000 m are tested. Navigation clearance: panhandle permits require 40-50 ft (12-15 m) of water over the reef top. The replicates measure run-to-run noise.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2" customWidth="1" min="1" max="1"/>
    <col width="48" customWidth="1" min="2" max="2"/>
    <col width="40" customWidth="1" min="3" max="3"/>
    <col width="70" customWidth="1" min="4" max="4"/>
  </cols>
  <sheetData>
    <row r="1">
      <c r="A1" s="6" t="inlineStr">
        <is>
          <t>Setup panel</t>
        </is>
      </c>
      <c r="B1" s="6" t="inlineStr">
        <is>
          <t>Field</t>
        </is>
      </c>
      <c r="C1" s="6" t="inlineStr">
        <is>
          <t>Value (all scenarios unless a scenario says otherwise)</t>
        </is>
      </c>
      <c r="D1" s="6" t="inlineStr">
        <is>
          <t>Note</t>
        </is>
      </c>
    </row>
    <row r="2"/>
    <row r="3">
      <c r="A3" s="3" t="inlineStr">
        <is>
          <t>Model &amp; run</t>
        </is>
      </c>
      <c r="B3" s="3" t="inlineStr">
        <is>
          <t>Ecospace model</t>
        </is>
      </c>
      <c r="C3" s="3" t="inlineStr">
        <is>
          <t>NGoM / NGoM_forConsole</t>
        </is>
      </c>
      <c r="D3" s="3" t="inlineStr"/>
    </row>
    <row r="4">
      <c r="A4" s="3" t="inlineStr">
        <is>
          <t>Model &amp; run</t>
        </is>
      </c>
      <c r="B4" s="3" t="inlineStr">
        <is>
          <t>Ecosim / Ecospace scenario index</t>
        </is>
      </c>
      <c r="C4" s="3" t="inlineStr">
        <is>
          <t>1 / 1</t>
        </is>
      </c>
      <c r="D4" s="3" t="inlineStr"/>
    </row>
    <row r="5">
      <c r="A5" s="3" t="inlineStr">
        <is>
          <t>Model &amp; run</t>
        </is>
      </c>
      <c r="B5" s="3" t="inlineStr">
        <is>
          <t>Run length (years)</t>
        </is>
      </c>
      <c r="C5" s="3" t="inlineStr">
        <is>
          <t>30</t>
        </is>
      </c>
      <c r="D5" s="3" t="inlineStr">
        <is>
          <t>Reef is added at year 10 in the model</t>
        </is>
      </c>
    </row>
    <row r="6">
      <c r="A6" s="3" t="inlineStr">
        <is>
          <t>Model &amp; run</t>
        </is>
      </c>
      <c r="B6" s="3" t="inlineStr">
        <is>
          <t>Use spin-up; Spin-up (years)</t>
        </is>
      </c>
      <c r="C6" s="3" t="inlineStr">
        <is>
          <t>ticked; 5</t>
        </is>
      </c>
      <c r="D6" s="3" t="inlineStr"/>
    </row>
    <row r="7">
      <c r="A7" s="3" t="inlineStr">
        <is>
          <t>Model &amp; run</t>
        </is>
      </c>
      <c r="B7" s="3" t="inlineStr">
        <is>
          <t>Time steps / year</t>
        </is>
      </c>
      <c r="C7" s="3" t="inlineStr">
        <is>
          <t>12</t>
        </is>
      </c>
      <c r="D7" s="3" t="inlineStr"/>
    </row>
    <row r="8">
      <c r="A8" s="3" t="inlineStr">
        <is>
          <t>Model &amp; run</t>
        </is>
      </c>
      <c r="B8" s="3" t="inlineStr">
        <is>
          <t>Threads</t>
        </is>
      </c>
      <c r="C8" s="3" t="inlineStr">
        <is>
          <t>15 (may be changed for speed; record it)</t>
        </is>
      </c>
      <c r="D8" s="3" t="inlineStr">
        <is>
          <t>Performance only</t>
        </is>
      </c>
    </row>
    <row r="9">
      <c r="A9" s="3" t="inlineStr">
        <is>
          <t>Model &amp; run</t>
        </is>
      </c>
      <c r="B9" s="3" t="inlineStr">
        <is>
          <t>Run timeout (s)</t>
        </is>
      </c>
      <c r="C9" s="3" t="inlineStr">
        <is>
          <t>1800</t>
        </is>
      </c>
      <c r="D9" s="3" t="inlineStr"/>
    </row>
    <row r="10">
      <c r="A10" s="3" t="inlineStr">
        <is>
          <t>Model &amp; run</t>
        </is>
      </c>
      <c r="B10" s="3" t="inlineStr">
        <is>
          <t>Existing reefs</t>
        </is>
      </c>
      <c r="C10" s="3" t="inlineStr">
        <is>
          <t>Automatic: from reeflocations.csv</t>
        </is>
      </c>
      <c r="D10" s="3" t="inlineStr">
        <is>
          <t>Except D277</t>
        </is>
      </c>
    </row>
    <row r="11">
      <c r="A11" s="3" t="inlineStr">
        <is>
          <t>Model &amp; run</t>
        </is>
      </c>
      <c r="B11" s="3" t="inlineStr">
        <is>
          <t>Cover of each existing structure cell</t>
        </is>
      </c>
      <c r="C11" s="3" t="inlineStr">
        <is>
          <t>Automatic</t>
        </is>
      </c>
      <c r="D11" s="3" t="inlineStr">
        <is>
          <t>Except D278</t>
        </is>
      </c>
    </row>
    <row r="12">
      <c r="A12" s="3" t="inlineStr">
        <is>
          <t>Model &amp; run</t>
        </is>
      </c>
      <c r="B12" s="3" t="inlineStr">
        <is>
          <t>Pristine habitat maps</t>
        </is>
      </c>
      <c r="C12" s="3" t="inlineStr">
        <is>
          <t>auto (Initial Base Mapps)</t>
        </is>
      </c>
      <c r="D12" s="3" t="inlineStr"/>
    </row>
    <row r="13">
      <c r="A13" s="3" t="inlineStr">
        <is>
          <t>Model &amp; run</t>
        </is>
      </c>
      <c r="B13" s="3" t="inlineStr">
        <is>
          <t>Natural habitat layers</t>
        </is>
      </c>
      <c r="C13" s="3" t="inlineStr">
        <is>
          <t>gravel, mud, rock, sand</t>
        </is>
      </c>
      <c r="D13" s="3" t="inlineStr"/>
    </row>
    <row r="14">
      <c r="A14" s="3" t="inlineStr">
        <is>
          <t>Installation</t>
        </is>
      </c>
      <c r="B14" s="3" t="inlineStr">
        <is>
          <t>Max modules per drop</t>
        </is>
      </c>
      <c r="C14" s="3" t="inlineStr">
        <is>
          <t>100</t>
        </is>
      </c>
      <c r="D14" s="3" t="inlineStr">
        <is>
          <t>Except D262-D263</t>
        </is>
      </c>
    </row>
    <row r="15">
      <c r="A15" s="3" t="inlineStr">
        <is>
          <t>Installation</t>
        </is>
      </c>
      <c r="B15" s="3" t="inlineStr">
        <is>
          <t>Max batch discount</t>
        </is>
      </c>
      <c r="C15" s="3" t="inlineStr">
        <is>
          <t>0.30</t>
        </is>
      </c>
      <c r="D15" s="3" t="inlineStr">
        <is>
          <t>Except D260-D261</t>
        </is>
      </c>
    </row>
    <row r="16">
      <c r="A16" s="3" t="inlineStr">
        <is>
          <t>Installation</t>
        </is>
      </c>
      <c r="B16" s="3" t="inlineStr">
        <is>
          <t>Halo radius (m)</t>
        </is>
      </c>
      <c r="C16" s="3" t="inlineStr">
        <is>
          <t>500</t>
        </is>
      </c>
      <c r="D16" s="3" t="inlineStr">
        <is>
          <t>Except D256-D257</t>
        </is>
      </c>
    </row>
    <row r="17">
      <c r="A17" s="3" t="inlineStr">
        <is>
          <t>Installation</t>
        </is>
      </c>
      <c r="B17" s="3" t="inlineStr">
        <is>
          <t>Max reef share of a cell</t>
        </is>
      </c>
      <c r="C17" s="3" t="inlineStr">
        <is>
          <t>1</t>
        </is>
      </c>
      <c r="D17" s="3" t="inlineStr">
        <is>
          <t>Except D264</t>
        </is>
      </c>
    </row>
    <row r="18">
      <c r="A18" s="3" t="inlineStr">
        <is>
          <t>Installation</t>
        </is>
      </c>
      <c r="B18" s="3" t="inlineStr">
        <is>
          <t>Min water above crest (m)</t>
        </is>
      </c>
      <c r="C18" s="3" t="inlineStr">
        <is>
          <t>6</t>
        </is>
      </c>
      <c r="D18" s="3" t="inlineStr">
        <is>
          <t>Except D270</t>
        </is>
      </c>
    </row>
    <row r="19">
      <c r="A19" s="3" t="inlineStr">
        <is>
          <t>Installation</t>
        </is>
      </c>
      <c r="B19" s="3" t="inlineStr">
        <is>
          <t>Depth cost factor; Reference depth</t>
        </is>
      </c>
      <c r="C19" s="3" t="inlineStr">
        <is>
          <t>0; 30 m</t>
        </is>
      </c>
      <c r="D19" s="3" t="inlineStr">
        <is>
          <t>Except D271</t>
        </is>
      </c>
    </row>
    <row r="20">
      <c r="A20" s="3" t="inlineStr">
        <is>
          <t>Installation</t>
        </is>
      </c>
      <c r="B20" s="3" t="inlineStr">
        <is>
          <t>Respect exclusions map</t>
        </is>
      </c>
      <c r="C20" s="3" t="inlineStr">
        <is>
          <t>ticked (exclusions.asc)</t>
        </is>
      </c>
      <c r="D20" s="3" t="inlineStr">
        <is>
          <t>Except D269</t>
        </is>
      </c>
    </row>
    <row r="21">
      <c r="A21" s="3" t="inlineStr">
        <is>
          <t>Installation</t>
        </is>
      </c>
      <c r="B21" s="3" t="inlineStr">
        <is>
          <t>Buffer from existing structures</t>
        </is>
      </c>
      <c r="C21" s="3" t="inlineStr">
        <is>
          <t>0</t>
        </is>
      </c>
      <c r="D21" s="3" t="inlineStr">
        <is>
          <t>Except D268</t>
        </is>
      </c>
    </row>
    <row r="22">
      <c r="A22" s="3" t="inlineStr">
        <is>
          <t>Installation</t>
        </is>
      </c>
      <c r="B22" s="3" t="inlineStr">
        <is>
          <t>Avoid habitats</t>
        </is>
      </c>
      <c r="C22" s="3" t="inlineStr">
        <is>
          <t>none</t>
        </is>
      </c>
      <c r="D22" s="3" t="inlineStr">
        <is>
          <t>Except D266-D267</t>
        </is>
      </c>
    </row>
    <row r="23">
      <c r="A23" s="3" t="inlineStr">
        <is>
          <t>Installation</t>
        </is>
      </c>
      <c r="B23" s="3" t="inlineStr">
        <is>
          <t>Natural habitat under new reef</t>
        </is>
      </c>
      <c r="C23" s="3" t="inlineStr">
        <is>
          <t>Makes room for the reef</t>
        </is>
      </c>
      <c r="D23" s="3" t="inlineStr">
        <is>
          <t>Except D265</t>
        </is>
      </c>
    </row>
    <row r="24">
      <c r="A24" s="3" t="inlineStr">
        <is>
          <t>Installation</t>
        </is>
      </c>
      <c r="B24" s="3" t="inlineStr">
        <is>
          <t>How budgets are drawn</t>
        </is>
      </c>
      <c r="C24" s="3" t="inlineStr">
        <is>
          <t>Uniform</t>
        </is>
      </c>
      <c r="D24" s="3" t="inlineStr">
        <is>
          <t>Except D272-D273</t>
        </is>
      </c>
    </row>
    <row r="25">
      <c r="A25" s="3" t="inlineStr">
        <is>
          <t>Decommissioning</t>
        </is>
      </c>
      <c r="B25" s="3" t="inlineStr">
        <is>
          <t>Min structures retained; coverage threshold</t>
        </is>
      </c>
      <c r="C25" s="3" t="inlineStr">
        <is>
          <t>0; 0</t>
        </is>
      </c>
      <c r="D25" s="3" t="inlineStr"/>
    </row>
    <row r="26">
      <c r="A26" s="3" t="inlineStr">
        <is>
          <t>Objectives</t>
        </is>
      </c>
      <c r="B26" s="3" t="inlineStr">
        <is>
          <t>Objectives</t>
        </is>
      </c>
      <c r="C26" s="3" t="inlineStr">
        <is>
          <t>RS_Biomass, RS_Catch, Reef_Fish_Biomass, Total_Revenue (max, weight 1)</t>
        </is>
      </c>
      <c r="D26" s="3" t="inlineStr">
        <is>
          <t>Re-weighted centrally afterwards</t>
        </is>
      </c>
    </row>
    <row r="27">
      <c r="A27" s="3" t="inlineStr">
        <is>
          <t>Objectives</t>
        </is>
      </c>
      <c r="B27" s="3" t="inlineStr">
        <is>
          <t>Average over the last N years</t>
        </is>
      </c>
      <c r="C27" s="3" t="inlineStr">
        <is>
          <t>5</t>
        </is>
      </c>
      <c r="D27" s="3" t="inlineStr">
        <is>
          <t>Except D275-D276</t>
        </is>
      </c>
    </row>
    <row r="28">
      <c r="A28" s="3" t="inlineStr">
        <is>
          <t>Economics</t>
        </is>
      </c>
      <c r="B28" s="3" t="inlineStr">
        <is>
          <t>Prices, fleets, pounds per tonne</t>
        </is>
      </c>
      <c r="C28" s="3" t="inlineStr">
        <is>
          <t>Defaults</t>
        </is>
      </c>
      <c r="D28" s="3" t="inlineStr"/>
    </row>
    <row r="29">
      <c r="A29" s="3" t="inlineStr">
        <is>
          <t>Search</t>
        </is>
      </c>
      <c r="B29" s="3" t="inlineStr">
        <is>
          <t>Search algorithm</t>
        </is>
      </c>
      <c r="C29" s="3" t="inlineStr">
        <is>
          <t>Random search</t>
        </is>
      </c>
      <c r="D29" s="3" t="inlineStr">
        <is>
          <t>Except D274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30" customWidth="1" min="3" max="3"/>
    <col width="10" customWidth="1" min="4" max="4"/>
    <col width="8" customWidth="1" min="5" max="5"/>
    <col width="70" customWidth="1" min="6" max="6"/>
  </cols>
  <sheetData>
    <row r="1">
      <c r="A1" s="1" t="inlineStr">
        <is>
          <t>Objective sets applied afterwards by re-scoring (no extra Ecospace runs)</t>
        </is>
      </c>
    </row>
    <row r="2">
      <c r="A2" s="12" t="inlineStr">
        <is>
          <t>Every saved run keeps its full Ecospace output, so the analysis lead re-scores all sessions with each set (Live Solver re-score, or ls_update_objectives in R). Contributors always run with Set 1.</t>
        </is>
      </c>
    </row>
    <row r="4">
      <c r="A4" s="6" t="inlineStr">
        <is>
          <t>Set</t>
        </is>
      </c>
      <c r="B4" s="6" t="inlineStr">
        <is>
          <t>Name</t>
        </is>
      </c>
      <c r="C4" s="6" t="inlineStr">
        <is>
          <t>Objective</t>
        </is>
      </c>
      <c r="D4" s="6" t="inlineStr">
        <is>
          <t>Direction</t>
        </is>
      </c>
      <c r="E4" s="6" t="inlineStr">
        <is>
          <t>Weight</t>
        </is>
      </c>
      <c r="F4" s="6" t="inlineStr">
        <is>
          <t>Question it answers</t>
        </is>
      </c>
    </row>
    <row r="5"/>
    <row r="6">
      <c r="A6" s="3" t="n">
        <v>1</v>
      </c>
      <c r="B6" s="3" t="inlineStr">
        <is>
          <t>Default (as run)</t>
        </is>
      </c>
      <c r="C6" s="3" t="inlineStr">
        <is>
          <t>RS_Biomass</t>
        </is>
      </c>
      <c r="D6" s="3" t="inlineStr">
        <is>
          <t>max</t>
        </is>
      </c>
      <c r="E6" s="3" t="n">
        <v>1</v>
      </c>
      <c r="F6" s="3" t="inlineStr">
        <is>
          <t>Balanced fishery and stock outcomes.</t>
        </is>
      </c>
    </row>
    <row r="7">
      <c r="A7" s="3" t="n"/>
      <c r="B7" s="3" t="n"/>
      <c r="C7" s="3" t="inlineStr">
        <is>
          <t>RS_Catch</t>
        </is>
      </c>
      <c r="D7" s="3" t="inlineStr">
        <is>
          <t>max</t>
        </is>
      </c>
      <c r="E7" s="3" t="n">
        <v>1</v>
      </c>
      <c r="F7" s="3" t="n"/>
    </row>
    <row r="8">
      <c r="A8" s="3" t="n"/>
      <c r="B8" s="3" t="n"/>
      <c r="C8" s="3" t="inlineStr">
        <is>
          <t>Reef_Fish_Biomass</t>
        </is>
      </c>
      <c r="D8" s="3" t="inlineStr">
        <is>
          <t>max</t>
        </is>
      </c>
      <c r="E8" s="3" t="n">
        <v>1</v>
      </c>
      <c r="F8" s="3" t="n"/>
    </row>
    <row r="9">
      <c r="A9" s="3" t="n"/>
      <c r="B9" s="3" t="n"/>
      <c r="C9" s="3" t="inlineStr">
        <is>
          <t>Total_Revenue</t>
        </is>
      </c>
      <c r="D9" s="3" t="inlineStr">
        <is>
          <t>max</t>
        </is>
      </c>
      <c r="E9" s="3" t="n">
        <v>1</v>
      </c>
      <c r="F9" s="3" t="n"/>
    </row>
    <row r="10">
      <c r="A10" s="3" t="n">
        <v>2</v>
      </c>
      <c r="B10" s="3" t="inlineStr">
        <is>
          <t>Red snapper fishery</t>
        </is>
      </c>
      <c r="C10" s="3" t="inlineStr">
        <is>
          <t>RS_Catch</t>
        </is>
      </c>
      <c r="D10" s="3" t="inlineStr">
        <is>
          <t>max</t>
        </is>
      </c>
      <c r="E10" s="3" t="n">
        <v>2</v>
      </c>
      <c r="F10" s="3" t="inlineStr">
        <is>
          <t>Where should reef go to maximise red snapper landings?</t>
        </is>
      </c>
    </row>
    <row r="11">
      <c r="A11" s="3" t="n"/>
      <c r="B11" s="3" t="n"/>
      <c r="C11" s="3" t="inlineStr">
        <is>
          <t>RS_Biomass</t>
        </is>
      </c>
      <c r="D11" s="3" t="inlineStr">
        <is>
          <t>max</t>
        </is>
      </c>
      <c r="E11" s="3" t="n">
        <v>1</v>
      </c>
      <c r="F11" s="3" t="n"/>
    </row>
    <row r="12">
      <c r="A12" s="3" t="n"/>
      <c r="B12" s="3" t="n"/>
      <c r="C12" s="3" t="inlineStr">
        <is>
          <t>Total_Revenue</t>
        </is>
      </c>
      <c r="D12" s="3" t="inlineStr">
        <is>
          <t>max</t>
        </is>
      </c>
      <c r="E12" s="3" t="n">
        <v>1</v>
      </c>
      <c r="F12" s="3" t="n"/>
    </row>
    <row r="13">
      <c r="A13" s="3" t="n">
        <v>3</v>
      </c>
      <c r="B13" s="3" t="inlineStr">
        <is>
          <t>Conservation / ecosystem</t>
        </is>
      </c>
      <c r="C13" s="3" t="inlineStr">
        <is>
          <t>Fed_Biomass</t>
        </is>
      </c>
      <c r="D13" s="3" t="inlineStr">
        <is>
          <t>max</t>
        </is>
      </c>
      <c r="E13" s="3" t="n">
        <v>1</v>
      </c>
      <c r="F13" s="3" t="inlineStr">
        <is>
          <t>Does reef build stocks and diversity without boosting invasive lionfish?</t>
        </is>
      </c>
    </row>
    <row r="14">
      <c r="A14" s="3" t="n"/>
      <c r="B14" s="3" t="n"/>
      <c r="C14" s="3" t="inlineStr">
        <is>
          <t>Biodiversity</t>
        </is>
      </c>
      <c r="D14" s="3" t="inlineStr">
        <is>
          <t>max</t>
        </is>
      </c>
      <c r="E14" s="3" t="n">
        <v>1</v>
      </c>
      <c r="F14" s="3" t="n"/>
    </row>
    <row r="15">
      <c r="A15" s="3" t="n"/>
      <c r="B15" s="3" t="n"/>
      <c r="C15" s="3" t="inlineStr">
        <is>
          <t>Lionfish_Biomass</t>
        </is>
      </c>
      <c r="D15" s="3" t="inlineStr">
        <is>
          <t>min</t>
        </is>
      </c>
      <c r="E15" s="3" t="n">
        <v>1</v>
      </c>
      <c r="F15" s="3" t="n"/>
    </row>
    <row r="16">
      <c r="A16" s="3" t="n"/>
      <c r="B16" s="3" t="n"/>
      <c r="C16" s="3" t="inlineStr">
        <is>
          <t>RS_Biomass</t>
        </is>
      </c>
      <c r="D16" s="3" t="inlineStr">
        <is>
          <t>max</t>
        </is>
      </c>
      <c r="E16" s="3" t="n">
        <v>1</v>
      </c>
      <c r="F16" s="3" t="n"/>
    </row>
    <row r="17">
      <c r="A17" s="3" t="n">
        <v>4</v>
      </c>
      <c r="B17" s="3" t="inlineStr">
        <is>
          <t>Economic return</t>
        </is>
      </c>
      <c r="C17" s="3" t="inlineStr">
        <is>
          <t>Total_Revenue</t>
        </is>
      </c>
      <c r="D17" s="3" t="inlineStr">
        <is>
          <t>max</t>
        </is>
      </c>
      <c r="E17" s="3" t="n">
        <v>2</v>
      </c>
      <c r="F17" s="3" t="inlineStr">
        <is>
          <t>Which layouts pay back fastest?</t>
        </is>
      </c>
    </row>
    <row r="18">
      <c r="A18" s="3" t="n"/>
      <c r="B18" s="3" t="n"/>
      <c r="C18" s="3" t="inlineStr">
        <is>
          <t>Comm_Revenue</t>
        </is>
      </c>
      <c r="D18" s="3" t="inlineStr">
        <is>
          <t>max</t>
        </is>
      </c>
      <c r="E18" s="3" t="n">
        <v>1</v>
      </c>
      <c r="F18" s="3" t="n"/>
    </row>
    <row r="19">
      <c r="A19" s="3" t="n">
        <v>5</v>
      </c>
      <c r="B19" s="3" t="inlineStr">
        <is>
          <t>Sector balance</t>
        </is>
      </c>
      <c r="C19" s="3" t="inlineStr">
        <is>
          <t>Comm_Catch</t>
        </is>
      </c>
      <c r="D19" s="3" t="inlineStr">
        <is>
          <t>max</t>
        </is>
      </c>
      <c r="E19" s="3" t="n">
        <v>1</v>
      </c>
      <c r="F19" s="3" t="inlineStr">
        <is>
          <t>Do layouts favour commercial or recreational fleets?</t>
        </is>
      </c>
    </row>
    <row r="20">
      <c r="A20" s="3" t="n"/>
      <c r="B20" s="3" t="n"/>
      <c r="C20" s="3" t="inlineStr">
        <is>
          <t>Rec_Catch</t>
        </is>
      </c>
      <c r="D20" s="3" t="inlineStr">
        <is>
          <t>max</t>
        </is>
      </c>
      <c r="E20" s="3" t="n">
        <v>1</v>
      </c>
      <c r="F20" s="3" t="n"/>
    </row>
    <row r="21">
      <c r="A21" s="3" t="n">
        <v>6</v>
      </c>
      <c r="B21" s="3" t="inlineStr">
        <is>
          <t>Multi-species stocks</t>
        </is>
      </c>
      <c r="C21" s="3" t="inlineStr">
        <is>
          <t>FedSp_greater_amberjack_Biomass</t>
        </is>
      </c>
      <c r="D21" s="3" t="inlineStr">
        <is>
          <t>max</t>
        </is>
      </c>
      <c r="E21" s="3" t="n">
        <v>1</v>
      </c>
      <c r="F21" s="3" t="inlineStr">
        <is>
          <t>Winners and losers among the eight federally managed reef fish.</t>
        </is>
      </c>
    </row>
    <row r="22">
      <c r="A22" s="3" t="n"/>
      <c r="B22" s="3" t="n"/>
      <c r="C22" s="3" t="inlineStr">
        <is>
          <t>FedSp_gag_Biomass</t>
        </is>
      </c>
      <c r="D22" s="3" t="inlineStr">
        <is>
          <t>max</t>
        </is>
      </c>
      <c r="E22" s="3" t="n">
        <v>1</v>
      </c>
      <c r="F22" s="3" t="n"/>
    </row>
    <row r="23">
      <c r="A23" s="3" t="n"/>
      <c r="B23" s="3" t="n"/>
      <c r="C23" s="3" t="inlineStr">
        <is>
          <t>FedSp_red_grouper_Biomass</t>
        </is>
      </c>
      <c r="D23" s="3" t="inlineStr">
        <is>
          <t>max</t>
        </is>
      </c>
      <c r="E23" s="3" t="n">
        <v>1</v>
      </c>
      <c r="F23" s="3" t="n"/>
    </row>
    <row r="24">
      <c r="A24" s="3" t="n"/>
      <c r="B24" s="3" t="n"/>
      <c r="C24" s="3" t="inlineStr">
        <is>
          <t>FedSp_red_snapper_Biomass</t>
        </is>
      </c>
      <c r="D24" s="3" t="inlineStr">
        <is>
          <t>max</t>
        </is>
      </c>
      <c r="E24" s="3" t="n">
        <v>1</v>
      </c>
      <c r="F24" s="3" t="n"/>
    </row>
    <row r="25">
      <c r="A25" s="3" t="n"/>
      <c r="B25" s="3" t="n"/>
      <c r="C25" s="3" t="inlineStr">
        <is>
          <t>FedSp_gray_snapper_Biomass</t>
        </is>
      </c>
      <c r="D25" s="3" t="inlineStr">
        <is>
          <t>max</t>
        </is>
      </c>
      <c r="E25" s="3" t="n">
        <v>1</v>
      </c>
      <c r="F25" s="3" t="n"/>
    </row>
    <row r="26">
      <c r="A26" s="3" t="n"/>
      <c r="B26" s="3" t="n"/>
      <c r="C26" s="3" t="inlineStr">
        <is>
          <t>FedSp_lane_snapper_Biomass</t>
        </is>
      </c>
      <c r="D26" s="3" t="inlineStr">
        <is>
          <t>max</t>
        </is>
      </c>
      <c r="E26" s="3" t="n">
        <v>1</v>
      </c>
      <c r="F26" s="3" t="n"/>
    </row>
    <row r="27">
      <c r="A27" s="3" t="n"/>
      <c r="B27" s="3" t="n"/>
      <c r="C27" s="3" t="inlineStr">
        <is>
          <t>FedSp_gray_triggerfish_Biomass</t>
        </is>
      </c>
      <c r="D27" s="3" t="inlineStr">
        <is>
          <t>max</t>
        </is>
      </c>
      <c r="E27" s="3" t="n">
        <v>1</v>
      </c>
      <c r="F27" s="3" t="n"/>
    </row>
    <row r="28">
      <c r="A28" s="3" t="n"/>
      <c r="B28" s="3" t="n"/>
      <c r="C28" s="3" t="inlineStr">
        <is>
          <t>FedSp_vermilion_snapper_Biomass</t>
        </is>
      </c>
      <c r="D28" s="3" t="inlineStr">
        <is>
          <t>max</t>
        </is>
      </c>
      <c r="E28" s="3" t="n">
        <v>1</v>
      </c>
      <c r="F28"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6" customWidth="1" min="1" max="1"/>
    <col width="90" customWidth="1" min="2" max="2"/>
    <col width="20" customWidth="1" min="3" max="3"/>
  </cols>
  <sheetData>
    <row r="1">
      <c r="A1" s="1" t="inlineStr">
        <is>
          <t>Before you start</t>
        </is>
      </c>
    </row>
    <row r="2">
      <c r="A2" t="n">
        <v>1</v>
      </c>
      <c r="B2" s="3" t="inlineStr">
        <is>
          <t>Row claimed (name + Status 'Claimed').</t>
        </is>
      </c>
    </row>
    <row r="3">
      <c r="A3" t="n">
        <v>2</v>
      </c>
      <c r="B3" s="3" t="inlineStr">
        <is>
          <t>Fresh unzipped package; log shows version ebf8874.</t>
        </is>
      </c>
    </row>
    <row r="4">
      <c r="A4" t="n">
        <v>3</v>
      </c>
      <c r="B4" s="3" t="inlineStr">
        <is>
          <t>Console location set; Test mode OFF.</t>
        </is>
      </c>
    </row>
    <row r="5">
      <c r="A5" t="n">
        <v>4</v>
      </c>
      <c r="B5" s="3" t="inlineStr">
        <is>
          <t>Scenario configuration loaded from the configs folder; no other setting changed.</t>
        </is>
      </c>
    </row>
    <row r="6">
      <c r="A6" t="n">
        <v>5</v>
      </c>
      <c r="B6" s="3" t="inlineStr">
        <is>
          <t>Constraint preview eligible cells match the Scenarios sheet.</t>
        </is>
      </c>
    </row>
    <row r="7">
      <c r="A7" t="n">
        <v>6</v>
      </c>
      <c r="B7" s="3" t="inlineStr">
        <is>
          <t>Computer plugged in; sleep and hibernation disabled.</t>
        </is>
      </c>
    </row>
    <row r="9">
      <c r="A9" s="1" t="inlineStr">
        <is>
          <t>After the session</t>
        </is>
      </c>
    </row>
    <row r="10">
      <c r="A10" t="n">
        <v>1</v>
      </c>
      <c r="B10" s="3" t="inlineStr">
        <is>
          <t>Log ends with 'Restored the original maps' and 'Best run: ...'; no warnings about identical outcomes, stale cache or grid mismatch.</t>
        </is>
      </c>
    </row>
    <row r="11">
      <c r="A11" t="n">
        <v>2</v>
      </c>
      <c r="B11" s="3" t="inlineStr">
        <is>
          <t>optimization_results.csv has the listed number of runs + 1 (status quo) rows, all finished.</t>
        </is>
      </c>
    </row>
    <row r="12">
      <c r="A12" t="n">
        <v>3</v>
      </c>
      <c r="B12" s="3" t="inlineStr">
        <is>
          <t>Status quo RS_Biomass and RS_Catch copied into the row and compared with the reference below.</t>
        </is>
      </c>
    </row>
    <row r="13">
      <c r="A13" t="n">
        <v>4</v>
      </c>
      <c r="B13" s="3" t="inlineStr">
        <is>
          <t>Session folder zipped as &lt;ScenarioID&gt;_&lt;Initials&gt;.zip and uploaded; link pasted in the row.</t>
        </is>
      </c>
    </row>
    <row r="14">
      <c r="A14" t="n">
        <v>5</v>
      </c>
      <c r="B14" s="3" t="inlineStr">
        <is>
          <t>Row completed: dates, version, runs finished, minutes per run, threads, computer, Status 'Done - uploaded'.</t>
        </is>
      </c>
    </row>
    <row r="16">
      <c r="A16" s="1" t="inlineStr">
        <is>
          <t>Status quo reference values</t>
        </is>
      </c>
    </row>
    <row r="17">
      <c r="B17" s="12" t="inlineStr">
        <is>
          <t>The coordinator fills these from the first completed reference run (D253). Every session's Run_0001_Status_Quo must match to 4 significant figures.</t>
        </is>
      </c>
    </row>
    <row r="18">
      <c r="B18" t="inlineStr">
        <is>
          <t>RS_Biomass (status quo)</t>
        </is>
      </c>
      <c r="C18" s="5" t="n"/>
    </row>
    <row r="19">
      <c r="B19" t="inlineStr">
        <is>
          <t>RS_Catch (status quo)</t>
        </is>
      </c>
      <c r="C19" s="5"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
  <sheetViews>
    <sheetView workbookViewId="0">
      <selection pane="bottomLeft" activeCell="A1" sqref="A1"/>
    </sheetView>
  </sheetViews>
  <sheetFormatPr baseColWidth="8" defaultRowHeight="15"/>
  <cols>
    <col width="34" customWidth="1" min="1" max="1"/>
    <col width="10" customWidth="1" min="2" max="2"/>
    <col width="12" customWidth="1" min="3" max="3"/>
    <col width="12" customWidth="1" min="4" max="4"/>
    <col width="12" customWidth="1" min="5" max="5"/>
    <col width="12" customWidth="1" min="6" max="6"/>
    <col width="12" customWidth="1" min="7" max="7"/>
    <col width="12" customWidth="1" min="8" max="8"/>
    <col width="12" customWidth="1" min="9" max="9"/>
    <col width="9" customWidth="1" min="10" max="10"/>
    <col width="14" customWidth="1" min="11" max="11"/>
  </cols>
  <sheetData>
    <row r="1">
      <c r="A1" s="1" t="inlineStr">
        <is>
          <t>Programme progress (updates as the Scenarios sheet is filled in)</t>
        </is>
      </c>
    </row>
    <row r="3">
      <c r="A3" s="6" t="inlineStr">
        <is>
          <t>Group</t>
        </is>
      </c>
      <c r="B3" s="6" t="inlineStr">
        <is>
          <t>Scenarios</t>
        </is>
      </c>
      <c r="C3" s="6" t="inlineStr">
        <is>
          <t>Not started</t>
        </is>
      </c>
      <c r="D3" s="6" t="inlineStr">
        <is>
          <t>Claimed</t>
        </is>
      </c>
      <c r="E3" s="6" t="inlineStr">
        <is>
          <t>Running</t>
        </is>
      </c>
      <c r="F3" s="6" t="inlineStr">
        <is>
          <t>Done - uploaded</t>
        </is>
      </c>
      <c r="G3" s="6" t="inlineStr">
        <is>
          <t>QC passed</t>
        </is>
      </c>
      <c r="H3" s="6" t="inlineStr">
        <is>
          <t>QC failed - rerun</t>
        </is>
      </c>
      <c r="I3" s="6" t="inlineStr">
        <is>
          <t>Problem</t>
        </is>
      </c>
      <c r="J3" s="6" t="inlineStr">
        <is>
          <t>% done</t>
        </is>
      </c>
      <c r="K3" s="6" t="inlineStr">
        <is>
          <t>Hours remaining</t>
        </is>
      </c>
    </row>
    <row r="4"/>
    <row r="5">
      <c r="A5" t="inlineStr">
        <is>
          <t>All scenarios</t>
        </is>
      </c>
      <c r="B5">
        <f>COUNTA(Scenarios!$Z$2:$Z$279)</f>
        <v/>
      </c>
      <c r="C5">
        <f>COUNTIFS(Scenarios!$Z$2:$Z$279,"Not started")</f>
        <v/>
      </c>
      <c r="D5">
        <f>COUNTIFS(Scenarios!$Z$2:$Z$279,"Claimed")</f>
        <v/>
      </c>
      <c r="E5">
        <f>COUNTIFS(Scenarios!$Z$2:$Z$279,"Running")</f>
        <v/>
      </c>
      <c r="F5">
        <f>COUNTIFS(Scenarios!$Z$2:$Z$279,"Done - uploaded")</f>
        <v/>
      </c>
      <c r="G5">
        <f>COUNTIFS(Scenarios!$Z$2:$Z$279,"QC passed")</f>
        <v/>
      </c>
      <c r="H5">
        <f>COUNTIFS(Scenarios!$Z$2:$Z$279,"QC failed - rerun")</f>
        <v/>
      </c>
      <c r="I5">
        <f>COUNTIFS(Scenarios!$Z$2:$Z$279,"Problem")</f>
        <v/>
      </c>
      <c r="J5" s="13">
        <f>IF(B5=0,0,(F5+G5)/B5)</f>
        <v/>
      </c>
      <c r="K5">
        <f>ROUND(SUM(Scenarios!$X$2:$X$279)-SUMIFS(Scenarios!$X$2:$X$279,Scenarios!$Z$2:$Z$279,"Done - uploaded")-SUMIFS(Scenarios!$X$2:$X$279,Scenarios!$Z$2:$Z$279,"QC passed"),0)</f>
        <v/>
      </c>
    </row>
    <row r="6">
      <c r="A6" t="inlineStr">
        <is>
          <t>Block A: installation</t>
        </is>
      </c>
      <c r="B6">
        <f>COUNTIFS(Scenarios!$Z$2:$Z$279,"&lt;&gt;zz",Scenarios!$B$2:$B$279,"A")</f>
        <v/>
      </c>
      <c r="C6">
        <f>COUNTIFS(Scenarios!$Z$2:$Z$279,"Not started",Scenarios!$B$2:$B$279,"A")</f>
        <v/>
      </c>
      <c r="D6">
        <f>COUNTIFS(Scenarios!$Z$2:$Z$279,"Claimed",Scenarios!$B$2:$B$279,"A")</f>
        <v/>
      </c>
      <c r="E6">
        <f>COUNTIFS(Scenarios!$Z$2:$Z$279,"Running",Scenarios!$B$2:$B$279,"A")</f>
        <v/>
      </c>
      <c r="F6">
        <f>COUNTIFS(Scenarios!$Z$2:$Z$279,"Done - uploaded",Scenarios!$B$2:$B$279,"A")</f>
        <v/>
      </c>
      <c r="G6">
        <f>COUNTIFS(Scenarios!$Z$2:$Z$279,"QC passed",Scenarios!$B$2:$B$279,"A")</f>
        <v/>
      </c>
      <c r="H6">
        <f>COUNTIFS(Scenarios!$Z$2:$Z$279,"QC failed - rerun",Scenarios!$B$2:$B$279,"A")</f>
        <v/>
      </c>
      <c r="I6">
        <f>COUNTIFS(Scenarios!$Z$2:$Z$279,"Problem",Scenarios!$B$2:$B$279,"A")</f>
        <v/>
      </c>
      <c r="J6" s="13">
        <f>IF(B6=0,0,(F6+G6)/B6)</f>
        <v/>
      </c>
      <c r="K6">
        <f>ROUND(SUMIFS(Scenarios!$X$2:$X$279,Scenarios!$B$2:$B$279,"A")-SUMIFS(Scenarios!$X$2:$X$279,Scenarios!$Z$2:$Z$279,"Done - uploaded",Scenarios!$B$2:$B$279,"A")-SUMIFS(Scenarios!$X$2:$X$279,Scenarios!$Z$2:$Z$279,"QC passed",Scenarios!$B$2:$B$279,"A"),0)</f>
        <v/>
      </c>
    </row>
    <row r="7">
      <c r="A7" t="inlineStr">
        <is>
          <t>Block B: decommissioning</t>
        </is>
      </c>
      <c r="B7">
        <f>COUNTIFS(Scenarios!$Z$2:$Z$279,"&lt;&gt;zz",Scenarios!$B$2:$B$279,"B")</f>
        <v/>
      </c>
      <c r="C7">
        <f>COUNTIFS(Scenarios!$Z$2:$Z$279,"Not started",Scenarios!$B$2:$B$279,"B")</f>
        <v/>
      </c>
      <c r="D7">
        <f>COUNTIFS(Scenarios!$Z$2:$Z$279,"Claimed",Scenarios!$B$2:$B$279,"B")</f>
        <v/>
      </c>
      <c r="E7">
        <f>COUNTIFS(Scenarios!$Z$2:$Z$279,"Running",Scenarios!$B$2:$B$279,"B")</f>
        <v/>
      </c>
      <c r="F7">
        <f>COUNTIFS(Scenarios!$Z$2:$Z$279,"Done - uploaded",Scenarios!$B$2:$B$279,"B")</f>
        <v/>
      </c>
      <c r="G7">
        <f>COUNTIFS(Scenarios!$Z$2:$Z$279,"QC passed",Scenarios!$B$2:$B$279,"B")</f>
        <v/>
      </c>
      <c r="H7">
        <f>COUNTIFS(Scenarios!$Z$2:$Z$279,"QC failed - rerun",Scenarios!$B$2:$B$279,"B")</f>
        <v/>
      </c>
      <c r="I7">
        <f>COUNTIFS(Scenarios!$Z$2:$Z$279,"Problem",Scenarios!$B$2:$B$279,"B")</f>
        <v/>
      </c>
      <c r="J7" s="13">
        <f>IF(B7=0,0,(F7+G7)/B7)</f>
        <v/>
      </c>
      <c r="K7">
        <f>ROUND(SUMIFS(Scenarios!$X$2:$X$279,Scenarios!$B$2:$B$279,"B")-SUMIFS(Scenarios!$X$2:$X$279,Scenarios!$Z$2:$Z$279,"Done - uploaded",Scenarios!$B$2:$B$279,"B")-SUMIFS(Scenarios!$X$2:$X$279,Scenarios!$Z$2:$Z$279,"QC passed",Scenarios!$B$2:$B$279,"B"),0)</f>
        <v/>
      </c>
    </row>
    <row r="8">
      <c r="A8" t="inlineStr">
        <is>
          <t>Block C: mixed</t>
        </is>
      </c>
      <c r="B8">
        <f>COUNTIFS(Scenarios!$Z$2:$Z$279,"&lt;&gt;zz",Scenarios!$B$2:$B$279,"C")</f>
        <v/>
      </c>
      <c r="C8">
        <f>COUNTIFS(Scenarios!$Z$2:$Z$279,"Not started",Scenarios!$B$2:$B$279,"C")</f>
        <v/>
      </c>
      <c r="D8">
        <f>COUNTIFS(Scenarios!$Z$2:$Z$279,"Claimed",Scenarios!$B$2:$B$279,"C")</f>
        <v/>
      </c>
      <c r="E8">
        <f>COUNTIFS(Scenarios!$Z$2:$Z$279,"Running",Scenarios!$B$2:$B$279,"C")</f>
        <v/>
      </c>
      <c r="F8">
        <f>COUNTIFS(Scenarios!$Z$2:$Z$279,"Done - uploaded",Scenarios!$B$2:$B$279,"C")</f>
        <v/>
      </c>
      <c r="G8">
        <f>COUNTIFS(Scenarios!$Z$2:$Z$279,"QC passed",Scenarios!$B$2:$B$279,"C")</f>
        <v/>
      </c>
      <c r="H8">
        <f>COUNTIFS(Scenarios!$Z$2:$Z$279,"QC failed - rerun",Scenarios!$B$2:$B$279,"C")</f>
        <v/>
      </c>
      <c r="I8">
        <f>COUNTIFS(Scenarios!$Z$2:$Z$279,"Problem",Scenarios!$B$2:$B$279,"C")</f>
        <v/>
      </c>
      <c r="J8" s="13">
        <f>IF(B8=0,0,(F8+G8)/B8)</f>
        <v/>
      </c>
      <c r="K8">
        <f>ROUND(SUMIFS(Scenarios!$X$2:$X$279,Scenarios!$B$2:$B$279,"C")-SUMIFS(Scenarios!$X$2:$X$279,Scenarios!$Z$2:$Z$279,"Done - uploaded",Scenarios!$B$2:$B$279,"C")-SUMIFS(Scenarios!$X$2:$X$279,Scenarios!$Z$2:$Z$279,"QC passed",Scenarios!$B$2:$B$279,"C"),0)</f>
        <v/>
      </c>
    </row>
    <row r="9">
      <c r="A9" t="inlineStr">
        <is>
          <t>Block D: sensitivity</t>
        </is>
      </c>
      <c r="B9">
        <f>COUNTIFS(Scenarios!$Z$2:$Z$279,"&lt;&gt;zz",Scenarios!$B$2:$B$279,"D")</f>
        <v/>
      </c>
      <c r="C9">
        <f>COUNTIFS(Scenarios!$Z$2:$Z$279,"Not started",Scenarios!$B$2:$B$279,"D")</f>
        <v/>
      </c>
      <c r="D9">
        <f>COUNTIFS(Scenarios!$Z$2:$Z$279,"Claimed",Scenarios!$B$2:$B$279,"D")</f>
        <v/>
      </c>
      <c r="E9">
        <f>COUNTIFS(Scenarios!$Z$2:$Z$279,"Running",Scenarios!$B$2:$B$279,"D")</f>
        <v/>
      </c>
      <c r="F9">
        <f>COUNTIFS(Scenarios!$Z$2:$Z$279,"Done - uploaded",Scenarios!$B$2:$B$279,"D")</f>
        <v/>
      </c>
      <c r="G9">
        <f>COUNTIFS(Scenarios!$Z$2:$Z$279,"QC passed",Scenarios!$B$2:$B$279,"D")</f>
        <v/>
      </c>
      <c r="H9">
        <f>COUNTIFS(Scenarios!$Z$2:$Z$279,"QC failed - rerun",Scenarios!$B$2:$B$279,"D")</f>
        <v/>
      </c>
      <c r="I9">
        <f>COUNTIFS(Scenarios!$Z$2:$Z$279,"Problem",Scenarios!$B$2:$B$279,"D")</f>
        <v/>
      </c>
      <c r="J9" s="13">
        <f>IF(B9=0,0,(F9+G9)/B9)</f>
        <v/>
      </c>
      <c r="K9">
        <f>ROUND(SUMIFS(Scenarios!$X$2:$X$279,Scenarios!$B$2:$B$279,"D")-SUMIFS(Scenarios!$X$2:$X$279,Scenarios!$Z$2:$Z$279,"Done - uploaded",Scenarios!$B$2:$B$279,"D")-SUMIFS(Scenarios!$X$2:$X$279,Scenarios!$Z$2:$Z$279,"QC passed",Scenarios!$B$2:$B$279,"D"),0)</f>
        <v/>
      </c>
    </row>
    <row r="10">
      <c r="A10" t="inlineStr">
        <is>
          <t>Priority 1</t>
        </is>
      </c>
      <c r="B10">
        <f>COUNTIFS(Scenarios!$Z$2:$Z$279,"&lt;&gt;zz",Scenarios!$C$2:$C$279,1)</f>
        <v/>
      </c>
      <c r="C10">
        <f>COUNTIFS(Scenarios!$Z$2:$Z$279,"Not started",Scenarios!$C$2:$C$279,1)</f>
        <v/>
      </c>
      <c r="D10">
        <f>COUNTIFS(Scenarios!$Z$2:$Z$279,"Claimed",Scenarios!$C$2:$C$279,1)</f>
        <v/>
      </c>
      <c r="E10">
        <f>COUNTIFS(Scenarios!$Z$2:$Z$279,"Running",Scenarios!$C$2:$C$279,1)</f>
        <v/>
      </c>
      <c r="F10">
        <f>COUNTIFS(Scenarios!$Z$2:$Z$279,"Done - uploaded",Scenarios!$C$2:$C$279,1)</f>
        <v/>
      </c>
      <c r="G10">
        <f>COUNTIFS(Scenarios!$Z$2:$Z$279,"QC passed",Scenarios!$C$2:$C$279,1)</f>
        <v/>
      </c>
      <c r="H10">
        <f>COUNTIFS(Scenarios!$Z$2:$Z$279,"QC failed - rerun",Scenarios!$C$2:$C$279,1)</f>
        <v/>
      </c>
      <c r="I10">
        <f>COUNTIFS(Scenarios!$Z$2:$Z$279,"Problem",Scenarios!$C$2:$C$279,1)</f>
        <v/>
      </c>
      <c r="J10" s="13">
        <f>IF(B10=0,0,(F10+G10)/B10)</f>
        <v/>
      </c>
      <c r="K10">
        <f>ROUND(SUMIFS(Scenarios!$X$2:$X$279,Scenarios!$C$2:$C$279,1)-SUMIFS(Scenarios!$X$2:$X$279,Scenarios!$Z$2:$Z$279,"Done - uploaded",Scenarios!$C$2:$C$279,1)-SUMIFS(Scenarios!$X$2:$X$279,Scenarios!$Z$2:$Z$279,"QC passed",Scenarios!$C$2:$C$279,1),0)</f>
        <v/>
      </c>
    </row>
    <row r="11">
      <c r="A11" t="inlineStr">
        <is>
          <t>Priority 2</t>
        </is>
      </c>
      <c r="B11">
        <f>COUNTIFS(Scenarios!$Z$2:$Z$279,"&lt;&gt;zz",Scenarios!$C$2:$C$279,2)</f>
        <v/>
      </c>
      <c r="C11">
        <f>COUNTIFS(Scenarios!$Z$2:$Z$279,"Not started",Scenarios!$C$2:$C$279,2)</f>
        <v/>
      </c>
      <c r="D11">
        <f>COUNTIFS(Scenarios!$Z$2:$Z$279,"Claimed",Scenarios!$C$2:$C$279,2)</f>
        <v/>
      </c>
      <c r="E11">
        <f>COUNTIFS(Scenarios!$Z$2:$Z$279,"Running",Scenarios!$C$2:$C$279,2)</f>
        <v/>
      </c>
      <c r="F11">
        <f>COUNTIFS(Scenarios!$Z$2:$Z$279,"Done - uploaded",Scenarios!$C$2:$C$279,2)</f>
        <v/>
      </c>
      <c r="G11">
        <f>COUNTIFS(Scenarios!$Z$2:$Z$279,"QC passed",Scenarios!$C$2:$C$279,2)</f>
        <v/>
      </c>
      <c r="H11">
        <f>COUNTIFS(Scenarios!$Z$2:$Z$279,"QC failed - rerun",Scenarios!$C$2:$C$279,2)</f>
        <v/>
      </c>
      <c r="I11">
        <f>COUNTIFS(Scenarios!$Z$2:$Z$279,"Problem",Scenarios!$C$2:$C$279,2)</f>
        <v/>
      </c>
      <c r="J11" s="13">
        <f>IF(B11=0,0,(F11+G11)/B11)</f>
        <v/>
      </c>
      <c r="K11">
        <f>ROUND(SUMIFS(Scenarios!$X$2:$X$279,Scenarios!$C$2:$C$279,2)-SUMIFS(Scenarios!$X$2:$X$279,Scenarios!$Z$2:$Z$279,"Done - uploaded",Scenarios!$C$2:$C$279,2)-SUMIFS(Scenarios!$X$2:$X$279,Scenarios!$Z$2:$Z$279,"QC passed",Scenarios!$C$2:$C$279,2),0)</f>
        <v/>
      </c>
    </row>
    <row r="12">
      <c r="A12" t="inlineStr">
        <is>
          <t>Priority 3</t>
        </is>
      </c>
      <c r="B12">
        <f>COUNTIFS(Scenarios!$Z$2:$Z$279,"&lt;&gt;zz",Scenarios!$C$2:$C$279,3)</f>
        <v/>
      </c>
      <c r="C12">
        <f>COUNTIFS(Scenarios!$Z$2:$Z$279,"Not started",Scenarios!$C$2:$C$279,3)</f>
        <v/>
      </c>
      <c r="D12">
        <f>COUNTIFS(Scenarios!$Z$2:$Z$279,"Claimed",Scenarios!$C$2:$C$279,3)</f>
        <v/>
      </c>
      <c r="E12">
        <f>COUNTIFS(Scenarios!$Z$2:$Z$279,"Running",Scenarios!$C$2:$C$279,3)</f>
        <v/>
      </c>
      <c r="F12">
        <f>COUNTIFS(Scenarios!$Z$2:$Z$279,"Done - uploaded",Scenarios!$C$2:$C$279,3)</f>
        <v/>
      </c>
      <c r="G12">
        <f>COUNTIFS(Scenarios!$Z$2:$Z$279,"QC passed",Scenarios!$C$2:$C$279,3)</f>
        <v/>
      </c>
      <c r="H12">
        <f>COUNTIFS(Scenarios!$Z$2:$Z$279,"QC failed - rerun",Scenarios!$C$2:$C$279,3)</f>
        <v/>
      </c>
      <c r="I12">
        <f>COUNTIFS(Scenarios!$Z$2:$Z$279,"Problem",Scenarios!$C$2:$C$279,3)</f>
        <v/>
      </c>
      <c r="J12" s="13">
        <f>IF(B12=0,0,(F12+G12)/B12)</f>
        <v/>
      </c>
      <c r="K12">
        <f>ROUND(SUMIFS(Scenarios!$X$2:$X$279,Scenarios!$C$2:$C$279,3)-SUMIFS(Scenarios!$X$2:$X$279,Scenarios!$Z$2:$Z$279,"Done - uploaded",Scenarios!$C$2:$C$279,3)-SUMIFS(Scenarios!$X$2:$X$279,Scenarios!$Z$2:$Z$279,"QC passed",Scenarios!$C$2:$C$279,3),0)</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60" customWidth="1" min="3" max="3"/>
  </cols>
  <sheetData>
    <row r="1">
      <c r="A1" s="6" t="inlineStr">
        <is>
          <t>Topic</t>
        </is>
      </c>
      <c r="B1" s="6" t="inlineStr">
        <is>
          <t>Source</t>
        </is>
      </c>
      <c r="C1" s="6" t="inlineStr">
        <is>
          <t>Used for</t>
        </is>
      </c>
    </row>
    <row r="2"/>
    <row r="3">
      <c r="A3" s="3" t="inlineStr">
        <is>
          <t>Live Solver settings</t>
        </is>
      </c>
      <c r="B3" s="3" t="inlineStr">
        <is>
          <t>OptimalEcospace repository, R/LiveSolver/solver_engine.R (ls_default_config) and app.R; README; User Guide</t>
        </is>
      </c>
      <c r="C3" s="3" t="inlineStr">
        <is>
          <t>Every setting name, default and app label in this workbook</t>
        </is>
      </c>
    </row>
    <row r="4">
      <c r="A4" s="3" t="inlineStr">
        <is>
          <t>Model geography</t>
        </is>
      </c>
      <c r="B4" s="3" t="inlineStr">
        <is>
          <t>Analysis of the NGoM model grid (basemap.asc, exclusions.asc, reeflocations.csv) with the Live Solver in test mode</t>
        </is>
      </c>
      <c r="C4" s="3" t="inlineStr">
        <is>
          <t>Eligible cells per zone and depth band; AL-FL boundary at grid column 19/20</t>
        </is>
      </c>
    </row>
    <row r="5">
      <c r="A5" s="3" t="inlineStr">
        <is>
          <t>Module cost</t>
        </is>
      </c>
      <c r="B5" s="3" t="inlineStr">
        <is>
          <t>Bay County, FL artificial reef proposal (2014): https://www.baycountyfl.gov/DocumentCenter/View/459/Bay-Pre-Proposal-2014-001e-Artificial-Reef-Proposal-Presentation-PDF</t>
        </is>
      </c>
      <c r="C5" s="3" t="inlineStr">
        <is>
          <t>$2,200 per prefabricated module including deployment</t>
        </is>
      </c>
    </row>
    <row r="6">
      <c r="A6" s="3" t="inlineStr">
        <is>
          <t>Module cost</t>
        </is>
      </c>
      <c r="B6" s="3" t="inlineStr">
        <is>
          <t>FWC, NW Florida artificial reef deployments (NRDA Phase III): https://myfwc.com/news/all-news/artificial-reef-521/</t>
        </is>
      </c>
      <c r="C6" s="3" t="inlineStr">
        <is>
          <t>$11.5 M for 3,607 modules (about $3,200 each)</t>
        </is>
      </c>
    </row>
    <row r="7">
      <c r="A7" s="3" t="inlineStr">
        <is>
          <t>Module cost</t>
        </is>
      </c>
      <c r="B7" s="3" t="inlineStr">
        <is>
          <t>Destin-Fort Walton Beach reef project (2024): https://business.destinchamber.com/news/details/news-release-5-13-2024-4527</t>
        </is>
      </c>
      <c r="C7" s="3" t="inlineStr">
        <is>
          <t>$1.26 M for 279 structures; small-budget band</t>
        </is>
      </c>
    </row>
    <row r="8">
      <c r="A8" s="3" t="inlineStr">
        <is>
          <t>Module cost</t>
        </is>
      </c>
      <c r="B8" s="3" t="inlineStr">
        <is>
          <t>Alabama Wildlife Federation reef brochure: https://www.alabamawildlife.org/uploadedFiles/File/ReefBrochure.pdf</t>
        </is>
      </c>
      <c r="C8" s="3" t="inlineStr">
        <is>
          <t>About $10,000 per reef (several modules)</t>
        </is>
      </c>
    </row>
    <row r="9">
      <c r="A9" s="3" t="inlineStr">
        <is>
          <t>Reef programmes</t>
        </is>
      </c>
      <c r="B9" s="3" t="inlineStr">
        <is>
          <t>Artificial reefs of the Gulf of Mexico: a review of Gulf state programs: https://platformresearch.msi.ucsb.edu/node/639</t>
        </is>
      </c>
      <c r="C9" s="3" t="inlineStr">
        <is>
          <t>Context for zones and programme scale</t>
        </is>
      </c>
    </row>
    <row r="10">
      <c r="A10" s="3" t="inlineStr">
        <is>
          <t>Depth / clearance</t>
        </is>
      </c>
      <c r="B10" s="3" t="inlineStr">
        <is>
          <t>USACE Mobile District permits for Florida panhandle large-area reefs: https://www.fws.gov/doiddata/dwh-ar-documents/4008/DWH-ARZ010242.pdf (and DWH-ARZ012580/012581)</t>
        </is>
      </c>
      <c r="C10" s="3" t="inlineStr">
        <is>
          <t>Clearance of 40-50 ft over the reef top; depths 18-300 ft</t>
        </is>
      </c>
    </row>
    <row r="11">
      <c r="A11" s="3" t="inlineStr">
        <is>
          <t>Alabama protocol</t>
        </is>
      </c>
      <c r="B11" s="3" t="inlineStr">
        <is>
          <t>Alabama Artificial Reef Construction Protocols (2021): https://www.outdooralabama.com/sites/default/files/PDF%20documents/AL%20Artificial%20Reef%20Construction%20Protocols%202021_12%20%281%29.pdf</t>
        </is>
      </c>
      <c r="C11" s="3" t="inlineStr">
        <is>
          <t>Alabama permitting context</t>
        </is>
      </c>
    </row>
    <row r="12">
      <c r="A12" s="3" t="inlineStr">
        <is>
          <t>Halo / movement</t>
        </is>
      </c>
      <c r="B12" s="3" t="inlineStr">
        <is>
          <t>Piraino &amp; Szedlmayer, fine-scale movements of red snapper around artificial reefs (SEDAR74-RD02): https://sedarweb.org/documents/sedar-74-rd02-fine-scale-movements-and-home-ranges-of-red-snapper-around-artificial-reefs-in-the-northern-gulf-of-mexico</t>
        </is>
      </c>
      <c r="C12" s="3" t="inlineStr">
        <is>
          <t>Mean distance of about 26 m from reef; motivates the halo sensitivity</t>
        </is>
      </c>
    </row>
    <row r="13">
      <c r="A13" s="3" t="inlineStr">
        <is>
          <t>Halo / depth</t>
        </is>
      </c>
      <c r="B13" s="3" t="inlineStr">
        <is>
          <t>Depth and artificial reef type effects on red snapper (SEDAR74-RD04): https://sedarweb.org/documents/sedar-74-rd04-depth-and-artificial-reef-type-effects-on-size-and-distribution-of-red-snapper-in-the-northern-gulf-of-mexico</t>
        </is>
      </c>
      <c r="C13" s="3" t="inlineStr">
        <is>
          <t>Depth bands</t>
        </is>
      </c>
    </row>
    <row r="14">
      <c r="A14" s="3" t="inlineStr">
        <is>
          <t>Removal cost</t>
        </is>
      </c>
      <c r="B14" s="3" t="inlineStr">
        <is>
          <t>Shallow-water platform removal cost model: https://www.offshore-mag.com/home/article/14288318/new-statistical-model-can-help-operators-estimate-shallow-water-platform-removal-costs</t>
        </is>
      </c>
      <c r="C14" s="3" t="inlineStr">
        <is>
          <t>Removal cost rises with depth</t>
        </is>
      </c>
    </row>
    <row r="15">
      <c r="A15" s="3" t="inlineStr">
        <is>
          <t>Removal cost</t>
        </is>
      </c>
      <c r="B15" s="3" t="inlineStr">
        <is>
          <t>Gulf of Mexico structure removal costs examined (OGJ): https://ogj.com/drilling-production/production-operations/article/17221641/gulf-of-mexico-structure-removal-costs-examined</t>
        </is>
      </c>
      <c r="C15" s="3" t="inlineStr">
        <is>
          <t>Toppling / partial removal options</t>
        </is>
      </c>
    </row>
    <row r="16">
      <c r="A16" s="3" t="inlineStr">
        <is>
          <t>Removal cost</t>
        </is>
      </c>
      <c r="B16" s="3" t="inlineStr">
        <is>
          <t>Reef-in-place savings of 30-50%: https://internationalfinance.com/magazine/energy-magazine/breathing-new-life-into-oil-and-gas-reserves/</t>
        </is>
      </c>
      <c r="C16" s="3" t="inlineStr">
        <is>
          <t>Partial removal at 60% of full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2026-10-27T15:01:09Z</dcterms:created>
  <dcterms:modified xmlns:dcterms="http://purl.org/dc/terms/" xmlns:xsi="http://www.w3.org/2001/XMLSchema-instance" xsi:type="dcterms:W3CDTF">2026-10-27T15:01:09Z</dcterms:modified>
</cp:coreProperties>
</file>