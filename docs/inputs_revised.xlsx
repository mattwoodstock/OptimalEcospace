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 me" sheetId="1" state="visible" r:id="rId3"/>
    <sheet name="Summary of changes" sheetId="2" state="visible" r:id="rId4"/>
    <sheet name="Base run stability" sheetId="3" state="visible" r:id="rId5"/>
    <sheet name="Dispersal" sheetId="4" state="visible" r:id="rId6"/>
    <sheet name="Habitat Affinities" sheetId="5" state="visible" r:id="rId7"/>
    <sheet name="Vulnerabilities" sheetId="6" state="visible" r:id="rId8"/>
  </sheets>
  <definedNames>
    <definedName function="false" hidden="true" localSheetId="1" name="_xlnm._FilterDatabase" vbProcedure="false">'Summary of changes'!$A$1:$G$124</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C2" authorId="0">
      <text>
        <r>
          <rPr>
            <sz val="10"/>
            <rFont val="Arial"/>
            <family val="2"/>
          </rPr>
          <t xml:space="preserve">Was 30000. 10x any other group (about 82 km/day of random movement on a 244 x 135 km grid); likely an extra zero. 3000 matches large pelagic piscivores.</t>
        </r>
      </text>
    </comment>
    <comment ref="C9" authorId="0">
      <text>
        <r>
          <rPr>
            <sz val="10"/>
            <rFont val="Arial"/>
            <family val="2"/>
          </rPr>
          <t xml:space="preserve">Was 300. Juvenile reef fish are site-attached to nursery or low-relief habitat; at the EwE default (300) they moved 3-6x faster than their adults, and all five stanzas decline 57-99% in the base run.</t>
        </r>
      </text>
    </comment>
    <comment ref="C10" authorId="0">
      <text>
        <r>
          <rPr>
            <sz val="10"/>
            <rFont val="Arial"/>
            <family val="2"/>
          </rPr>
          <t xml:space="preserve">Was 300. Juvenile reef fish are site-attached to nursery or low-relief habitat; at the EwE default (300) they moved 3-6x faster than their adults, and all five stanzas decline 57-99% in the base run. 100 (not 50) allows the age 1-3 move from inshore to offshore reefs.</t>
        </r>
      </text>
    </comment>
    <comment ref="C12" authorId="0">
      <text>
        <r>
          <rPr>
            <sz val="10"/>
            <rFont val="Arial"/>
            <family val="2"/>
          </rPr>
          <t xml:space="preserve">Was 300. Juvenile reef fish are site-attached to nursery or low-relief habitat; at the EwE default (300) they moved 3-6x faster than their adults, and all five stanzas decline 57-99% in the base run.</t>
        </r>
      </text>
    </comment>
    <comment ref="C13" authorId="0">
      <text>
        <r>
          <rPr>
            <sz val="10"/>
            <rFont val="Arial"/>
            <family val="2"/>
          </rPr>
          <t xml:space="preserve">Was 300. Juvenile reef fish are site-attached to nursery or low-relief habitat; at the EwE default (300) they moved 3-6x faster than their adults, and all five stanzas decline 57-99% in the base run.</t>
        </r>
      </text>
    </comment>
    <comment ref="C15" authorId="0">
      <text>
        <r>
          <rPr>
            <sz val="10"/>
            <rFont val="Arial"/>
            <family val="2"/>
          </rPr>
          <t xml:space="preserve">Was 300. Juvenile reef fish are site-attached to nursery or low-relief habitat; at the EwE default (300) they moved 3-6x faster than their adults, and all five stanzas decline 57-99% in the base run.</t>
        </r>
      </text>
    </comment>
    <comment ref="C52" authorId="0">
      <text>
        <r>
          <rPr>
            <sz val="10"/>
            <rFont val="Arial"/>
            <family val="2"/>
          </rPr>
          <t xml:space="preserve">Was 300. Sediment-dwelling meiofauna; 300 is the EwE default, likely never set. Other small benthos (infauna, gastropods, bivalves) use 10.</t>
        </r>
      </text>
    </comment>
    <comment ref="C59" authorId="0">
      <text>
        <r>
          <rPr>
            <sz val="10"/>
            <rFont val="Arial"/>
            <family val="2"/>
          </rPr>
          <t xml:space="preserve">Was 300. Sessile (corals, sea fans); 300 is the EwE default, likely never set. Other sessile or near-sessile groups use 1-10.</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C2" authorId="0">
      <text>
        <r>
          <rPr>
            <sz val="10"/>
            <rFont val="Arial"/>
            <family val="2"/>
          </rPr>
          <t xml:space="preserve">Was 0.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C5" authorId="0">
      <text>
        <r>
          <rPr>
            <sz val="10"/>
            <rFont val="Arial"/>
            <family val="2"/>
          </rPr>
          <t xml:space="preserve">Was 0.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C7" authorId="0">
      <text>
        <r>
          <rPr>
            <sz val="10"/>
            <rFont val="Arial"/>
            <family val="2"/>
          </rPr>
          <t xml:space="preserve">Was 0.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C41" authorId="0">
      <text>
        <r>
          <rPr>
            <sz val="10"/>
            <rFont val="Arial"/>
            <family val="2"/>
          </rPr>
          <t xml:space="preserve">Was 0.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C53" authorId="0">
      <text>
        <r>
          <rPr>
            <sz val="10"/>
            <rFont val="Arial"/>
            <family val="2"/>
          </rPr>
          <t xml:space="preserve">Was 0.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C54" authorId="0">
      <text>
        <r>
          <rPr>
            <sz val="10"/>
            <rFont val="Arial"/>
            <family val="2"/>
          </rPr>
          <t xml:space="preserve">Was 0.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C55" authorId="0">
      <text>
        <r>
          <rPr>
            <sz val="10"/>
            <rFont val="Arial"/>
            <family val="2"/>
          </rPr>
          <t xml:space="preserve">Was 0.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C56" authorId="0">
      <text>
        <r>
          <rPr>
            <sz val="10"/>
            <rFont val="Arial"/>
            <family val="2"/>
          </rPr>
          <t xml:space="preserve">Was 0.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C57" authorId="0">
      <text>
        <r>
          <rPr>
            <sz val="10"/>
            <rFont val="Arial"/>
            <family val="2"/>
          </rPr>
          <t xml:space="preserve">Was 0.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C58" authorId="0">
      <text>
        <r>
          <rPr>
            <sz val="10"/>
            <rFont val="Arial"/>
            <family val="2"/>
          </rPr>
          <t xml:space="preserve">Was 0.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C62" authorId="0">
      <text>
        <r>
          <rPr>
            <sz val="10"/>
            <rFont val="Arial"/>
            <family val="2"/>
          </rPr>
          <t xml:space="preserve">Was 0.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C64" authorId="0">
      <text>
        <r>
          <rPr>
            <sz val="10"/>
            <rFont val="Arial"/>
            <family val="2"/>
          </rPr>
          <t xml:space="preserve">Was 0.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C65" authorId="0">
      <text>
        <r>
          <rPr>
            <sz val="10"/>
            <rFont val="Arial"/>
            <family val="2"/>
          </rPr>
          <t xml:space="preserve">Was 0.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D2" authorId="0">
      <text>
        <r>
          <rPr>
            <sz val="10"/>
            <rFont val="Arial"/>
            <family val="2"/>
          </rPr>
          <t xml:space="preserve">Was 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D4" authorId="0">
      <text>
        <r>
          <rPr>
            <sz val="10"/>
            <rFont val="Arial"/>
            <family val="2"/>
          </rPr>
          <t xml:space="preserve">Was 1. Mostly soft-bottom foragers (sand 0.7, mud 0.5).</t>
        </r>
      </text>
    </comment>
    <comment ref="D5" authorId="0">
      <text>
        <r>
          <rPr>
            <sz val="10"/>
            <rFont val="Arial"/>
            <family val="2"/>
          </rPr>
          <t xml:space="preserve">Was 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D7" authorId="0">
      <text>
        <r>
          <rPr>
            <sz val="10"/>
            <rFont val="Arial"/>
            <family val="2"/>
          </rPr>
          <t xml:space="preserve">Was 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D15" authorId="0">
      <text>
        <r>
          <rPr>
            <sz val="10"/>
            <rFont val="Arial"/>
            <family val="2"/>
          </rPr>
          <t xml:space="preserve">Was 1. Age-0 and age-1 red snapper use low-relief shell and sand bottom and are displaced from high-relief reefs by adults.</t>
        </r>
      </text>
    </comment>
    <comment ref="D35" authorId="0">
      <text>
        <r>
          <rPr>
            <sz val="10"/>
            <rFont val="Arial"/>
            <family val="2"/>
          </rPr>
          <t xml:space="preserve">Was 1. Sand perch live on sand and shell bottom near hard structure; the original preferred rock (0.7) over sand (0.3). Collapses 95% in the base run.</t>
        </r>
      </text>
    </comment>
    <comment ref="D36" authorId="0">
      <text>
        <r>
          <rPr>
            <sz val="10"/>
            <rFont val="Arial"/>
            <family val="2"/>
          </rPr>
          <t xml:space="preserve">Was 1. Lizardfish are sand-burrowing ambush predators; the original preferred rock (0.8) over sand (0.1).</t>
        </r>
      </text>
    </comment>
    <comment ref="D39" authorId="0">
      <text>
        <r>
          <rPr>
            <sz val="10"/>
            <rFont val="Arial"/>
            <family val="2"/>
          </rPr>
          <t xml:space="preserve">Was 1. Soft-bottom group (sand 0.8); reef preference lowered to match.</t>
        </r>
      </text>
    </comment>
    <comment ref="D40" authorId="0">
      <text>
        <r>
          <rPr>
            <sz val="10"/>
            <rFont val="Arial"/>
            <family val="2"/>
          </rPr>
          <t xml:space="preserve">Was 1. Soft-bottom group (preferences mud 0.5, sand 0.9); reef preference lowered to match.</t>
        </r>
      </text>
    </comment>
    <comment ref="D41" authorId="0">
      <text>
        <r>
          <rPr>
            <sz val="10"/>
            <rFont val="Arial"/>
            <family val="2"/>
          </rPr>
          <t xml:space="preserve">Was 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D42" authorId="0">
      <text>
        <r>
          <rPr>
            <sz val="10"/>
            <rFont val="Arial"/>
            <family val="2"/>
          </rPr>
          <t xml:space="preserve">Was 1. Penaeid shrimp are soft-bottom (mud and sand) species, not reef-associated.</t>
        </r>
      </text>
    </comment>
    <comment ref="D43" authorId="0">
      <text>
        <r>
          <rPr>
            <sz val="10"/>
            <rFont val="Arial"/>
            <family val="2"/>
          </rPr>
          <t xml:space="preserve">Was 1. Mixed group (stone crabs on hard bottom, blue and portunid crabs on soft bottom).</t>
        </r>
      </text>
    </comment>
    <comment ref="D46" authorId="0">
      <text>
        <r>
          <rPr>
            <sz val="10"/>
            <rFont val="Arial"/>
            <family val="2"/>
          </rPr>
          <t xml:space="preserve">Was 1. Mostly soft-bottom (sea stars, brittle stars, sand dollars; mud 0.8, sand 0.9); urchins use reefs, so 0.5.</t>
        </r>
      </text>
    </comment>
    <comment ref="D51" authorId="0">
      <text>
        <r>
          <rPr>
            <sz val="10"/>
            <rFont val="Arial"/>
            <family val="2"/>
          </rPr>
          <t xml:space="preserve">Was 1. Infauna burrow in sediment; they cannot live in rock or concrete.</t>
        </r>
      </text>
    </comment>
    <comment ref="D52" authorId="0">
      <text>
        <r>
          <rPr>
            <sz val="10"/>
            <rFont val="Arial"/>
            <family val="2"/>
          </rPr>
          <t xml:space="preserve">Was 1. Meiofauna live between sediment grains.</t>
        </r>
      </text>
    </comment>
    <comment ref="D53" authorId="0">
      <text>
        <r>
          <rPr>
            <sz val="10"/>
            <rFont val="Arial"/>
            <family val="2"/>
          </rPr>
          <t xml:space="preserve">Was 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D54" authorId="0">
      <text>
        <r>
          <rPr>
            <sz val="10"/>
            <rFont val="Arial"/>
            <family val="2"/>
          </rPr>
          <t xml:space="preserve">Was 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D55" authorId="0">
      <text>
        <r>
          <rPr>
            <sz val="10"/>
            <rFont val="Arial"/>
            <family val="2"/>
          </rPr>
          <t xml:space="preserve">Was 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D56" authorId="0">
      <text>
        <r>
          <rPr>
            <sz val="10"/>
            <rFont val="Arial"/>
            <family val="2"/>
          </rPr>
          <t xml:space="preserve">Was 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D57" authorId="0">
      <text>
        <r>
          <rPr>
            <sz val="10"/>
            <rFont val="Arial"/>
            <family val="2"/>
          </rPr>
          <t xml:space="preserve">Was 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D58" authorId="0">
      <text>
        <r>
          <rPr>
            <sz val="10"/>
            <rFont val="Arial"/>
            <family val="2"/>
          </rPr>
          <t xml:space="preserve">Was 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D61" authorId="0">
      <text>
        <r>
          <rPr>
            <sz val="10"/>
            <rFont val="Arial"/>
            <family val="2"/>
          </rPr>
          <t xml:space="preserve">Was 1. Benthic microalgae grow on sediment surfaces (sand, mud), not on reef structure.</t>
        </r>
      </text>
    </comment>
    <comment ref="D62" authorId="0">
      <text>
        <r>
          <rPr>
            <sz val="10"/>
            <rFont val="Arial"/>
            <family val="2"/>
          </rPr>
          <t xml:space="preserve">Was 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D63" authorId="0">
      <text>
        <r>
          <rPr>
            <sz val="10"/>
            <rFont val="Arial"/>
            <family val="2"/>
          </rPr>
          <t xml:space="preserve">Was 1. Seagrass roots in shallow sand and mud; it does not grow on rock or artificial reef.</t>
        </r>
      </text>
    </comment>
    <comment ref="D64" authorId="0">
      <text>
        <r>
          <rPr>
            <sz val="10"/>
            <rFont val="Arial"/>
            <family val="2"/>
          </rPr>
          <t xml:space="preserve">Was 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D65" authorId="0">
      <text>
        <r>
          <rPr>
            <sz val="10"/>
            <rFont val="Arial"/>
            <family val="2"/>
          </rPr>
          <t xml:space="preserve">Was 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E2" authorId="0">
      <text>
        <r>
          <rPr>
            <sz val="10"/>
            <rFont val="Arial"/>
            <family val="2"/>
          </rPr>
          <t xml:space="preserve">Was 0.1.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E5" authorId="0">
      <text>
        <r>
          <rPr>
            <sz val="10"/>
            <rFont val="Arial"/>
            <family val="2"/>
          </rPr>
          <t xml:space="preserve">Was 0.1.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E7" authorId="0">
      <text>
        <r>
          <rPr>
            <sz val="10"/>
            <rFont val="Arial"/>
            <family val="2"/>
          </rPr>
          <t xml:space="preserve">Was 0.1.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E41" authorId="0">
      <text>
        <r>
          <rPr>
            <sz val="10"/>
            <rFont val="Arial"/>
            <family val="2"/>
          </rPr>
          <t xml:space="preserve">Was 0.5.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E53" authorId="0">
      <text>
        <r>
          <rPr>
            <sz val="10"/>
            <rFont val="Arial"/>
            <family val="2"/>
          </rPr>
          <t xml:space="preserve">Was 0.5.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E54" authorId="0">
      <text>
        <r>
          <rPr>
            <sz val="10"/>
            <rFont val="Arial"/>
            <family val="2"/>
          </rPr>
          <t xml:space="preserve">Was 0.5.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E55" authorId="0">
      <text>
        <r>
          <rPr>
            <sz val="10"/>
            <rFont val="Arial"/>
            <family val="2"/>
          </rPr>
          <t xml:space="preserve">Was 0.2.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E56" authorId="0">
      <text>
        <r>
          <rPr>
            <sz val="10"/>
            <rFont val="Arial"/>
            <family val="2"/>
          </rPr>
          <t xml:space="preserve">Was 0.3.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E57" authorId="0">
      <text>
        <r>
          <rPr>
            <sz val="10"/>
            <rFont val="Arial"/>
            <family val="2"/>
          </rPr>
          <t xml:space="preserve">Was 0.1.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E58" authorId="0">
      <text>
        <r>
          <rPr>
            <sz val="10"/>
            <rFont val="Arial"/>
            <family val="2"/>
          </rPr>
          <t xml:space="preserve">Was 0.1.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E59" authorId="0">
      <text>
        <r>
          <rPr>
            <sz val="10"/>
            <rFont val="Arial"/>
            <family val="2"/>
          </rPr>
          <t xml:space="preserve">Was 0.1. Corals and sea fans need hard substrate; the original rated rock at 0.1.</t>
        </r>
      </text>
    </comment>
    <comment ref="E60" authorId="0">
      <text>
        <r>
          <rPr>
            <sz val="10"/>
            <rFont val="Arial"/>
            <family val="2"/>
          </rPr>
          <t xml:space="preserve">Was 0.1. Macroalgae need hard substrate to attach; the original rated rock at 0.1.</t>
        </r>
      </text>
    </comment>
    <comment ref="E62" authorId="0">
      <text>
        <r>
          <rPr>
            <sz val="10"/>
            <rFont val="Arial"/>
            <family val="2"/>
          </rPr>
          <t xml:space="preserve">Was 0.3.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E63" authorId="0">
      <text>
        <r>
          <rPr>
            <sz val="10"/>
            <rFont val="Arial"/>
            <family val="2"/>
          </rPr>
          <t xml:space="preserve">Was 0.4. Seagrass roots in shallow sand and mud; it does not grow on rock or artificial reef.</t>
        </r>
      </text>
    </comment>
    <comment ref="E64" authorId="0">
      <text>
        <r>
          <rPr>
            <sz val="10"/>
            <rFont val="Arial"/>
            <family val="2"/>
          </rPr>
          <t xml:space="preserve">Was 0.4.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E65" authorId="0">
      <text>
        <r>
          <rPr>
            <sz val="10"/>
            <rFont val="Arial"/>
            <family val="2"/>
          </rPr>
          <t xml:space="preserve">Was 0.2.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F2" authorId="0">
      <text>
        <r>
          <rPr>
            <sz val="10"/>
            <rFont val="Arial"/>
            <family val="2"/>
          </rPr>
          <t xml:space="preserve">Was 0.1.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F5" authorId="0">
      <text>
        <r>
          <rPr>
            <sz val="10"/>
            <rFont val="Arial"/>
            <family val="2"/>
          </rPr>
          <t xml:space="preserve">Was 0.1.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F7" authorId="0">
      <text>
        <r>
          <rPr>
            <sz val="10"/>
            <rFont val="Arial"/>
            <family val="2"/>
          </rPr>
          <t xml:space="preserve">Was 0.1.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F35" authorId="0">
      <text>
        <r>
          <rPr>
            <sz val="10"/>
            <rFont val="Arial"/>
            <family val="2"/>
          </rPr>
          <t xml:space="preserve">Was 0.7. Sand perch live on sand and shell bottom near hard structure; the original preferred rock (0.7) over sand (0.3). Collapses 95% in the base run.</t>
        </r>
      </text>
    </comment>
    <comment ref="F36" authorId="0">
      <text>
        <r>
          <rPr>
            <sz val="10"/>
            <rFont val="Arial"/>
            <family val="2"/>
          </rPr>
          <t xml:space="preserve">Was 0.8. Lizardfish are sand-burrowing ambush predators; the original preferred rock (0.8) over sand (0.1).</t>
        </r>
      </text>
    </comment>
    <comment ref="F41" authorId="0">
      <text>
        <r>
          <rPr>
            <sz val="10"/>
            <rFont val="Arial"/>
            <family val="2"/>
          </rPr>
          <t xml:space="preserve">Was 0.9.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F49" authorId="0">
      <text>
        <r>
          <rPr>
            <sz val="10"/>
            <rFont val="Arial"/>
            <family val="2"/>
          </rPr>
          <t xml:space="preserve">Was 0.5. Sponges, hydroids and other attached fauna need hard substrate; the original rated sand and mud above rock.</t>
        </r>
      </text>
    </comment>
    <comment ref="F51" authorId="0">
      <text>
        <r>
          <rPr>
            <sz val="10"/>
            <rFont val="Arial"/>
            <family val="2"/>
          </rPr>
          <t xml:space="preserve">Was 0.6. Infauna burrow in sediment; they cannot live in rock or concrete.</t>
        </r>
      </text>
    </comment>
    <comment ref="F52" authorId="0">
      <text>
        <r>
          <rPr>
            <sz val="10"/>
            <rFont val="Arial"/>
            <family val="2"/>
          </rPr>
          <t xml:space="preserve">Was 0.5. Meiofauna live between sediment grains.</t>
        </r>
      </text>
    </comment>
    <comment ref="F53" authorId="0">
      <text>
        <r>
          <rPr>
            <sz val="10"/>
            <rFont val="Arial"/>
            <family val="2"/>
          </rPr>
          <t xml:space="preserve">Was 0.9.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F54" authorId="0">
      <text>
        <r>
          <rPr>
            <sz val="10"/>
            <rFont val="Arial"/>
            <family val="2"/>
          </rPr>
          <t xml:space="preserve">Was 0.5.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F55" authorId="0">
      <text>
        <r>
          <rPr>
            <sz val="10"/>
            <rFont val="Arial"/>
            <family val="2"/>
          </rPr>
          <t xml:space="preserve">Was 0.1.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F56" authorId="0">
      <text>
        <r>
          <rPr>
            <sz val="10"/>
            <rFont val="Arial"/>
            <family val="2"/>
          </rPr>
          <t xml:space="preserve">Was 0.2.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F57" authorId="0">
      <text>
        <r>
          <rPr>
            <sz val="10"/>
            <rFont val="Arial"/>
            <family val="2"/>
          </rPr>
          <t xml:space="preserve">Was 0.1.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F58" authorId="0">
      <text>
        <r>
          <rPr>
            <sz val="10"/>
            <rFont val="Arial"/>
            <family val="2"/>
          </rPr>
          <t xml:space="preserve">Was 0.1.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F59" authorId="0">
      <text>
        <r>
          <rPr>
            <sz val="10"/>
            <rFont val="Arial"/>
            <family val="2"/>
          </rPr>
          <t xml:space="preserve">Was 0.1. Corals and sea fans need hard substrate; the original rated rock at 0.1.</t>
        </r>
      </text>
    </comment>
    <comment ref="F60" authorId="0">
      <text>
        <r>
          <rPr>
            <sz val="10"/>
            <rFont val="Arial"/>
            <family val="2"/>
          </rPr>
          <t xml:space="preserve">Was 0.1. Macroalgae need hard substrate to attach; the original rated rock at 0.1.</t>
        </r>
      </text>
    </comment>
    <comment ref="F62" authorId="0">
      <text>
        <r>
          <rPr>
            <sz val="10"/>
            <rFont val="Arial"/>
            <family val="2"/>
          </rPr>
          <t xml:space="preserve">Was 0.3.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F63" authorId="0">
      <text>
        <r>
          <rPr>
            <sz val="10"/>
            <rFont val="Arial"/>
            <family val="2"/>
          </rPr>
          <t xml:space="preserve">Was 0.8. Seagrass roots in shallow sand and mud; it does not grow on rock or artificial reef.</t>
        </r>
      </text>
    </comment>
    <comment ref="F64" authorId="0">
      <text>
        <r>
          <rPr>
            <sz val="10"/>
            <rFont val="Arial"/>
            <family val="2"/>
          </rPr>
          <t xml:space="preserve">Was 0.8.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F65" authorId="0">
      <text>
        <r>
          <rPr>
            <sz val="10"/>
            <rFont val="Arial"/>
            <family val="2"/>
          </rPr>
          <t xml:space="preserve">Was 0.2.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G2" authorId="0">
      <text>
        <r>
          <rPr>
            <sz val="10"/>
            <rFont val="Arial"/>
            <family val="2"/>
          </rPr>
          <t xml:space="preserve">Was 0.1.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G5" authorId="0">
      <text>
        <r>
          <rPr>
            <sz val="10"/>
            <rFont val="Arial"/>
            <family val="2"/>
          </rPr>
          <t xml:space="preserve">Was 0.1.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G7" authorId="0">
      <text>
        <r>
          <rPr>
            <sz val="10"/>
            <rFont val="Arial"/>
            <family val="2"/>
          </rPr>
          <t xml:space="preserve">Was 0.2.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G15" authorId="0">
      <text>
        <r>
          <rPr>
            <sz val="10"/>
            <rFont val="Arial"/>
            <family val="2"/>
          </rPr>
          <t xml:space="preserve">Was 0.2. Age-0 and age-1 red snapper use low-relief shell and sand bottom and are displaced from high-relief reefs by adults.</t>
        </r>
      </text>
    </comment>
    <comment ref="G35" authorId="0">
      <text>
        <r>
          <rPr>
            <sz val="10"/>
            <rFont val="Arial"/>
            <family val="2"/>
          </rPr>
          <t xml:space="preserve">Was 0.2. Sand perch live on sand and shell bottom near hard structure; the original preferred rock (0.7) over sand (0.3). Collapses 95% in the base run.</t>
        </r>
      </text>
    </comment>
    <comment ref="G36" authorId="0">
      <text>
        <r>
          <rPr>
            <sz val="10"/>
            <rFont val="Arial"/>
            <family val="2"/>
          </rPr>
          <t xml:space="preserve">Was 0.1. Lizardfish are sand-burrowing ambush predators; the original preferred rock (0.8) over sand (0.1).</t>
        </r>
      </text>
    </comment>
    <comment ref="G41" authorId="0">
      <text>
        <r>
          <rPr>
            <sz val="10"/>
            <rFont val="Arial"/>
            <family val="2"/>
          </rPr>
          <t xml:space="preserve">Was 0.1.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G42" authorId="0">
      <text>
        <r>
          <rPr>
            <sz val="10"/>
            <rFont val="Arial"/>
            <family val="2"/>
          </rPr>
          <t xml:space="preserve">Was 0.5. Penaeid shrimp are soft-bottom (mud and sand) species, not reef-associated.</t>
        </r>
      </text>
    </comment>
    <comment ref="G49" authorId="0">
      <text>
        <r>
          <rPr>
            <sz val="10"/>
            <rFont val="Arial"/>
            <family val="2"/>
          </rPr>
          <t xml:space="preserve">Was 0.6. Sponges, hydroids and other attached fauna need hard substrate; the original rated sand and mud above rock.</t>
        </r>
      </text>
    </comment>
    <comment ref="G53" authorId="0">
      <text>
        <r>
          <rPr>
            <sz val="10"/>
            <rFont val="Arial"/>
            <family val="2"/>
          </rPr>
          <t xml:space="preserve">Was 0.1.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G54" authorId="0">
      <text>
        <r>
          <rPr>
            <sz val="10"/>
            <rFont val="Arial"/>
            <family val="2"/>
          </rPr>
          <t xml:space="preserve">Was 0.7.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G55" authorId="0">
      <text>
        <r>
          <rPr>
            <sz val="10"/>
            <rFont val="Arial"/>
            <family val="2"/>
          </rPr>
          <t xml:space="preserve">Was 0.9.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G56" authorId="0">
      <text>
        <r>
          <rPr>
            <sz val="10"/>
            <rFont val="Arial"/>
            <family val="2"/>
          </rPr>
          <t xml:space="preserve">Was 0.9.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G57" authorId="0">
      <text>
        <r>
          <rPr>
            <sz val="10"/>
            <rFont val="Arial"/>
            <family val="2"/>
          </rPr>
          <t xml:space="preserve">Was 0.1.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G58" authorId="0">
      <text>
        <r>
          <rPr>
            <sz val="10"/>
            <rFont val="Arial"/>
            <family val="2"/>
          </rPr>
          <t xml:space="preserve">Was 0.1.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G61" authorId="0">
      <text>
        <r>
          <rPr>
            <sz val="10"/>
            <rFont val="Arial"/>
            <family val="2"/>
          </rPr>
          <t xml:space="preserve">Was 0.1. Benthic microalgae grow on sediment surfaces (sand, mud), not on reef structure.</t>
        </r>
      </text>
    </comment>
    <comment ref="G62" authorId="0">
      <text>
        <r>
          <rPr>
            <sz val="10"/>
            <rFont val="Arial"/>
            <family val="2"/>
          </rPr>
          <t xml:space="preserve">Was 0.6.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G63" authorId="0">
      <text>
        <r>
          <rPr>
            <sz val="10"/>
            <rFont val="Arial"/>
            <family val="2"/>
          </rPr>
          <t xml:space="preserve">Was 0.1. Seagrass roots in shallow sand and mud; it does not grow on rock or artificial reef.</t>
        </r>
      </text>
    </comment>
    <comment ref="G64" authorId="0">
      <text>
        <r>
          <rPr>
            <sz val="10"/>
            <rFont val="Arial"/>
            <family val="2"/>
          </rPr>
          <t xml:space="preserve">Was 0.1.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G65" authorId="0">
      <text>
        <r>
          <rPr>
            <sz val="10"/>
            <rFont val="Arial"/>
            <family val="2"/>
          </rPr>
          <t xml:space="preserve">Was 0.8.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H2" authorId="0">
      <text>
        <r>
          <rPr>
            <sz val="10"/>
            <rFont val="Arial"/>
            <family val="2"/>
          </rPr>
          <t xml:space="preserve">Was 0.2.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H5" authorId="0">
      <text>
        <r>
          <rPr>
            <sz val="10"/>
            <rFont val="Arial"/>
            <family val="2"/>
          </rPr>
          <t xml:space="preserve">Was 0.1.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H7" authorId="0">
      <text>
        <r>
          <rPr>
            <sz val="10"/>
            <rFont val="Arial"/>
            <family val="2"/>
          </rPr>
          <t xml:space="preserve">Was 0.3.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H15" authorId="0">
      <text>
        <r>
          <rPr>
            <sz val="10"/>
            <rFont val="Arial"/>
            <family val="2"/>
          </rPr>
          <t xml:space="preserve">Was 0.4. Age-0 and age-1 red snapper use low-relief shell and sand bottom and are displaced from high-relief reefs by adults.</t>
        </r>
      </text>
    </comment>
    <comment ref="H35" authorId="0">
      <text>
        <r>
          <rPr>
            <sz val="10"/>
            <rFont val="Arial"/>
            <family val="2"/>
          </rPr>
          <t xml:space="preserve">Was 0.3. Sand perch live on sand and shell bottom near hard structure; the original preferred rock (0.7) over sand (0.3). Collapses 95% in the base run.</t>
        </r>
      </text>
    </comment>
    <comment ref="H36" authorId="0">
      <text>
        <r>
          <rPr>
            <sz val="10"/>
            <rFont val="Arial"/>
            <family val="2"/>
          </rPr>
          <t xml:space="preserve">Was 0.1. Lizardfish are sand-burrowing ambush predators; the original preferred rock (0.8) over sand (0.1).</t>
        </r>
      </text>
    </comment>
    <comment ref="H41" authorId="0">
      <text>
        <r>
          <rPr>
            <sz val="10"/>
            <rFont val="Arial"/>
            <family val="2"/>
          </rPr>
          <t xml:space="preserve">Was 0.2.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H49" authorId="0">
      <text>
        <r>
          <rPr>
            <sz val="10"/>
            <rFont val="Arial"/>
            <family val="2"/>
          </rPr>
          <t xml:space="preserve">Was 0.7. Sponges, hydroids and other attached fauna need hard substrate; the original rated sand and mud above rock.</t>
        </r>
      </text>
    </comment>
    <comment ref="H53" authorId="0">
      <text>
        <r>
          <rPr>
            <sz val="10"/>
            <rFont val="Arial"/>
            <family val="2"/>
          </rPr>
          <t xml:space="preserve">Was 0.1.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H54" authorId="0">
      <text>
        <r>
          <rPr>
            <sz val="10"/>
            <rFont val="Arial"/>
            <family val="2"/>
          </rPr>
          <t xml:space="preserve">Was 0.8.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H55" authorId="0">
      <text>
        <r>
          <rPr>
            <sz val="10"/>
            <rFont val="Arial"/>
            <family val="2"/>
          </rPr>
          <t xml:space="preserve">Was 0.8.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H56" authorId="0">
      <text>
        <r>
          <rPr>
            <sz val="10"/>
            <rFont val="Arial"/>
            <family val="2"/>
          </rPr>
          <t xml:space="preserve">Was 0.8.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H57" authorId="0">
      <text>
        <r>
          <rPr>
            <sz val="10"/>
            <rFont val="Arial"/>
            <family val="2"/>
          </rPr>
          <t xml:space="preserve">Was 0.1.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H58" authorId="0">
      <text>
        <r>
          <rPr>
            <sz val="10"/>
            <rFont val="Arial"/>
            <family val="2"/>
          </rPr>
          <t xml:space="preserve">Was 0.1.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H61" authorId="0">
      <text>
        <r>
          <rPr>
            <sz val="10"/>
            <rFont val="Arial"/>
            <family val="2"/>
          </rPr>
          <t xml:space="preserve">Was 0.1. Benthic microalgae grow on sediment surfaces (sand, mud), not on reef structure.</t>
        </r>
      </text>
    </comment>
    <comment ref="H62" authorId="0">
      <text>
        <r>
          <rPr>
            <sz val="10"/>
            <rFont val="Arial"/>
            <family val="2"/>
          </rPr>
          <t xml:space="preserve">Was 0.5.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H63" authorId="0">
      <text>
        <r>
          <rPr>
            <sz val="10"/>
            <rFont val="Arial"/>
            <family val="2"/>
          </rPr>
          <t xml:space="preserve">Was 0.1. Seagrass roots in shallow sand and mud; it does not grow on rock or artificial reef.</t>
        </r>
      </text>
    </comment>
    <comment ref="H64" authorId="0">
      <text>
        <r>
          <rPr>
            <sz val="10"/>
            <rFont val="Arial"/>
            <family val="2"/>
          </rPr>
          <t xml:space="preserve">Was 0.1.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 ref="H65" authorId="0">
      <text>
        <r>
          <rPr>
            <sz val="10"/>
            <rFont val="Arial"/>
            <family val="2"/>
          </rPr>
          <t xml:space="preserve">Was 0.9. Water-column group: its carrying capacity should not depend on the seabed. Assigned to the All habitat (every water cell) instead of preferring artificial reef at 1.0, which made added reef create plankton, pelagic fish and detritus (total biomass +151-354% in the optimisation runs).</t>
        </r>
      </text>
    </comment>
  </commentList>
</comments>
</file>

<file path=xl/sharedStrings.xml><?xml version="1.0" encoding="utf-8"?>
<sst xmlns="http://schemas.openxmlformats.org/spreadsheetml/2006/main" count="921" uniqueCount="139">
  <si>
    <t xml:space="preserve">Revised Ecospace inputs for the NGoM model</t>
  </si>
  <si>
    <t xml:space="preserve">What changed</t>
  </si>
  <si>
    <t xml:space="preserve">Cells filled yellow on the Dispersal and Habitat Affinities sheets were changed. Each has a comment with the original value and the reason. Every change is listed on the Summary of changes sheet.</t>
  </si>
  <si>
    <t xml:space="preserve">The Vulnerabilities sheet is unchanged (see below).</t>
  </si>
  <si>
    <t xml:space="preserve">Why</t>
  </si>
  <si>
    <t xml:space="preserve">1. The base run is not stable: only 30 of 64 groups stay within 25% of their starting biomass over 30 years (Base run stability sheet). Gag, greater amberjack and sand perch fall by 95-99.7%.</t>
  </si>
  <si>
    <t xml:space="preserve">2. The declining groups share two Ecospace traits that drain populations: juveniles dispersing at the EwE default of 300 km/yr (3-6x their adults), and habitat preferences that do not match where the species live. Animals that move into low-preference cells pay the bad-habitat penalties (2x vulnerability to predation, 2x movement).</t>
  </si>
  <si>
    <t xml:space="preserve">3. Every group, including plankton, microbes and detritus, preferred artificial reef at 1.0. Adding reef therefore raised the capacity of the whole food web, which inflated reef scenarios (total biomass +151-354% in the optimisation runs).</t>
  </si>
  <si>
    <t xml:space="preserve">Vulnerabilities</t>
  </si>
  <si>
    <t xml:space="preserve">Each predator has one fitted value applied to all of its diet links (1.2 to 10), with 2 on non-links, where it has no effect. These come from the time-series fit (Ecosim scenario sim7_ts2) and are left unchanged; changing them would invalidate the fit. Red grouper 3+ sits at exactly 10, which looks like the upper bound of the fitting and is worth checking.</t>
  </si>
  <si>
    <t xml:space="preserve">How to apply and test</t>
  </si>
  <si>
    <t xml:space="preserve">1. First run Ecosim alone (no Ecospace) with the original inputs. If gag, amberjack and sand perch also decline there, the cause is fishing or the Ecosim fit, not these spatial inputs.</t>
  </si>
  <si>
    <t xml:space="preserve">2. Apply the High-priority changes (Ecospace &gt; Input &gt; Dispersal, and Habitat preferences), save the model under a new name, and run the base Ecospace scenario.</t>
  </si>
  <si>
    <t xml:space="preserve">3. Compare with the Base run stability sheet: the target is most groups within 25% over 30 years, and Ecospace biomass close to the Ecopath values.</t>
  </si>
  <si>
    <t xml:space="preserve">4. Add the Medium and Low priority changes one block at a time and repeat the check, so the effect of each block is visible.</t>
  </si>
  <si>
    <t xml:space="preserve">5. Re-run the Live Solver status quo with the revised model before running optimisation sessions.</t>
  </si>
  <si>
    <t xml:space="preserve">Caveats</t>
  </si>
  <si>
    <t xml:space="preserve">These are recommendations from life-history knowledge and the base-run diagnostics; they have not been run in Ecospace. Habitat-preference changes shift where biomass sits and how much each group can hold, so the base run must be checked before results are used.</t>
  </si>
  <si>
    <t xml:space="preserve">Sheet</t>
  </si>
  <si>
    <t xml:space="preserve">Group</t>
  </si>
  <si>
    <t xml:space="preserve">Parameter</t>
  </si>
  <si>
    <t xml:space="preserve">Original</t>
  </si>
  <si>
    <t xml:space="preserve">Proposed</t>
  </si>
  <si>
    <t xml:space="preserve">Priority</t>
  </si>
  <si>
    <t xml:space="preserve">Reason</t>
  </si>
  <si>
    <t xml:space="preserve">Dispersal</t>
  </si>
  <si>
    <t xml:space="preserve">gag 0-1</t>
  </si>
  <si>
    <t xml:space="preserve">Base dispersal rate</t>
  </si>
  <si>
    <t xml:space="preserve">High</t>
  </si>
  <si>
    <t xml:space="preserve">Juvenile reef fish are site-attached to nursery or low-relief habitat; at the EwE default (300) they moved 3-6x faster than their adults, and all five stanzas decline 57-99% in the base run.</t>
  </si>
  <si>
    <t xml:space="preserve">gag 1-3</t>
  </si>
  <si>
    <t xml:space="preserve">Juvenile reef fish are site-attached to nursery or low-relief habitat; at the EwE default (300) they moved 3-6x faster than their adults, and all five stanzas decline 57-99% in the base run. 100 (not 50) allows the age 1-3 move from inshore to offshore reefs.</t>
  </si>
  <si>
    <t xml:space="preserve">pelagic sharks</t>
  </si>
  <si>
    <t xml:space="preserve">10x any other group (about 82 km/day of random movement on a 244 x 135 km grid); likely an extra zero. 3000 matches large pelagic piscivores.</t>
  </si>
  <si>
    <t xml:space="preserve">red grouper 0-1</t>
  </si>
  <si>
    <t xml:space="preserve">red grouper 1-3</t>
  </si>
  <si>
    <t xml:space="preserve">red snapper juv</t>
  </si>
  <si>
    <t xml:space="preserve">Habitat Affinities</t>
  </si>
  <si>
    <t xml:space="preserve">carnivorous zooplankton</t>
  </si>
  <si>
    <t xml:space="preserve">All</t>
  </si>
  <si>
    <t xml:space="preserve">Water-column group: its carrying capacity should not depend on the seabed. Assigned to the All habitat (every water cell) instead of preferring artificial reef at 1.0, which made added reef create plankton, pelagic fish and detritus (total biomass +151-354% in the optimisation runs).</t>
  </si>
  <si>
    <t xml:space="preserve">artificial reef</t>
  </si>
  <si>
    <t xml:space="preserve">gravel</t>
  </si>
  <si>
    <t xml:space="preserve">rock</t>
  </si>
  <si>
    <t xml:space="preserve">mud</t>
  </si>
  <si>
    <t xml:space="preserve">sand</t>
  </si>
  <si>
    <t xml:space="preserve">herbivorous zooplankton</t>
  </si>
  <si>
    <t xml:space="preserve">ichtyoplankton</t>
  </si>
  <si>
    <t xml:space="preserve">jellyfish</t>
  </si>
  <si>
    <t xml:space="preserve">large pelagic piscivores</t>
  </si>
  <si>
    <t xml:space="preserve">microbes</t>
  </si>
  <si>
    <t xml:space="preserve">omnivorous zooplankton</t>
  </si>
  <si>
    <t xml:space="preserve">phytoplankton</t>
  </si>
  <si>
    <t xml:space="preserve">sand perch</t>
  </si>
  <si>
    <t xml:space="preserve">Sand perch live on sand and shell bottom near hard structure; the original preferred rock (0.7) over sand (0.3). Collapses 95% in the base run.</t>
  </si>
  <si>
    <t xml:space="preserve">seagrass</t>
  </si>
  <si>
    <t xml:space="preserve">Seagrass roots in shallow sand and mud; it does not grow on rock or artificial reef.</t>
  </si>
  <si>
    <t xml:space="preserve">sediment detritus</t>
  </si>
  <si>
    <t xml:space="preserve">small pelagics</t>
  </si>
  <si>
    <t xml:space="preserve">squid</t>
  </si>
  <si>
    <t xml:space="preserve">water column detritus</t>
  </si>
  <si>
    <t xml:space="preserve">anthozoans</t>
  </si>
  <si>
    <t xml:space="preserve">Medium</t>
  </si>
  <si>
    <t xml:space="preserve">Sessile (corals, sea fans); 300 is the EwE default, likely never set. Other sessile or near-sessile groups use 1-10.</t>
  </si>
  <si>
    <t xml:space="preserve">meiobenthos</t>
  </si>
  <si>
    <t xml:space="preserve">Sediment-dwelling meiofauna; 300 is the EwE default, likely never set. Other small benthos (infauna, gastropods, bivalves) use 10.</t>
  </si>
  <si>
    <t xml:space="preserve">Corals and sea fans need hard substrate; the original rated rock at 0.1.</t>
  </si>
  <si>
    <t xml:space="preserve">lizardfish</t>
  </si>
  <si>
    <t xml:space="preserve">Lizardfish are sand-burrowing ambush predators; the original preferred rock (0.8) over sand (0.1).</t>
  </si>
  <si>
    <t xml:space="preserve">macroalgae</t>
  </si>
  <si>
    <t xml:space="preserve">Macroalgae need hard substrate to attach; the original rated rock at 0.1.</t>
  </si>
  <si>
    <t xml:space="preserve">Meiofauna live between sediment grains.</t>
  </si>
  <si>
    <t xml:space="preserve">microphytobenthos</t>
  </si>
  <si>
    <t xml:space="preserve">Benthic microalgae grow on sediment surfaces (sand, mud), not on reef structure.</t>
  </si>
  <si>
    <t xml:space="preserve">sessile epibenthos</t>
  </si>
  <si>
    <t xml:space="preserve">Sponges, hydroids and other attached fauna need hard substrate; the original rated sand and mud above rock.</t>
  </si>
  <si>
    <t xml:space="preserve">shrimp</t>
  </si>
  <si>
    <t xml:space="preserve">Penaeid shrimp are soft-bottom (mud and sand) species, not reef-associated.</t>
  </si>
  <si>
    <t xml:space="preserve">small infauna</t>
  </si>
  <si>
    <t xml:space="preserve">Infauna burrow in sediment; they cannot live in rock or concrete.</t>
  </si>
  <si>
    <t xml:space="preserve">demersal crustacean eaters</t>
  </si>
  <si>
    <t xml:space="preserve">Low</t>
  </si>
  <si>
    <t xml:space="preserve">Soft-bottom group (sand 0.8); reef preference lowered to match.</t>
  </si>
  <si>
    <t xml:space="preserve">demersal omnivores</t>
  </si>
  <si>
    <t xml:space="preserve">Soft-bottom group (preferences mud 0.5, sand 0.9); reef preference lowered to match.</t>
  </si>
  <si>
    <t xml:space="preserve">echinoderms</t>
  </si>
  <si>
    <t xml:space="preserve">Mostly soft-bottom (sea stars, brittle stars, sand dollars; mud 0.8, sand 0.9); urchins use reefs, so 0.5.</t>
  </si>
  <si>
    <t xml:space="preserve">large crabs</t>
  </si>
  <si>
    <t xml:space="preserve">Mixed group (stone crabs on hard bottom, blue and portunid crabs on soft bottom).</t>
  </si>
  <si>
    <t xml:space="preserve">rays and small sharks</t>
  </si>
  <si>
    <t xml:space="preserve">Mostly soft-bottom foragers (sand 0.7, mud 0.5).</t>
  </si>
  <si>
    <t xml:space="preserve">Age-0 and age-1 red snapper use low-relief shell and sand bottom and are displaced from high-relief reefs by adults.</t>
  </si>
  <si>
    <t xml:space="preserve">Mean biomass years 1-5 (t/km2)</t>
  </si>
  <si>
    <t xml:space="preserve">Mean biomass years 26-30 (t/km2)</t>
  </si>
  <si>
    <t xml:space="preserve">Ratio (last 5 / first 5)</t>
  </si>
  <si>
    <t xml:space="preserve">Assessment</t>
  </si>
  <si>
    <t xml:space="preserve">greater amberjack</t>
  </si>
  <si>
    <t xml:space="preserve">gag 3+</t>
  </si>
  <si>
    <t xml:space="preserve">porgies</t>
  </si>
  <si>
    <t xml:space="preserve">red grouper 3+</t>
  </si>
  <si>
    <t xml:space="preserve">cardinalfishes</t>
  </si>
  <si>
    <t xml:space="preserve">small wrasses</t>
  </si>
  <si>
    <t xml:space="preserve">gray triggerfish</t>
  </si>
  <si>
    <t xml:space="preserve">demersal sharks</t>
  </si>
  <si>
    <t xml:space="preserve">vermilion snapper</t>
  </si>
  <si>
    <t xml:space="preserve">red snapper adult</t>
  </si>
  <si>
    <t xml:space="preserve">grunts</t>
  </si>
  <si>
    <t xml:space="preserve">small reef omnivores</t>
  </si>
  <si>
    <t xml:space="preserve">chromis</t>
  </si>
  <si>
    <t xml:space="preserve">seabasses</t>
  </si>
  <si>
    <t xml:space="preserve">damselfish</t>
  </si>
  <si>
    <t xml:space="preserve">medium reef omnivores</t>
  </si>
  <si>
    <t xml:space="preserve">gastropods</t>
  </si>
  <si>
    <t xml:space="preserve">bivalves</t>
  </si>
  <si>
    <t xml:space="preserve">mobile epifauna</t>
  </si>
  <si>
    <t xml:space="preserve">blennies</t>
  </si>
  <si>
    <t xml:space="preserve">stomatopods</t>
  </si>
  <si>
    <t xml:space="preserve">octopus</t>
  </si>
  <si>
    <t xml:space="preserve">reef carnivores</t>
  </si>
  <si>
    <t xml:space="preserve">gray snapper</t>
  </si>
  <si>
    <t xml:space="preserve">reef crustacean eaters</t>
  </si>
  <si>
    <t xml:space="preserve">reef invertivores</t>
  </si>
  <si>
    <t xml:space="preserve">reef planktivores</t>
  </si>
  <si>
    <t xml:space="preserve">lane snapper</t>
  </si>
  <si>
    <t xml:space="preserve">demersal carnivores</t>
  </si>
  <si>
    <t xml:space="preserve">lionfish juv</t>
  </si>
  <si>
    <t xml:space="preserve">lionfish adult</t>
  </si>
  <si>
    <t xml:space="preserve">Groups stable within 25%</t>
  </si>
  <si>
    <t xml:space="preserve">Source: Ecospace_Annual_Average_Biomass.csv from the base run with the original model maps (EwE 6.7, scenario test1, 30 years, 2009 start), supplied by the user.</t>
  </si>
  <si>
    <t xml:space="preserve">Group name</t>
  </si>
  <si>
    <t xml:space="preserve">IBM dispersal in bad habitat (multiplier)</t>
  </si>
  <si>
    <t xml:space="preserve">Rel. vul to pred. in bad hab.</t>
  </si>
  <si>
    <t xml:space="preserve">Rel. move speed to cell fitness (multiplier)</t>
  </si>
  <si>
    <t xml:space="preserve">Is advected (True/False)</t>
  </si>
  <si>
    <t xml:space="preserve">Is migratory (True/False)</t>
  </si>
  <si>
    <t xml:space="preserve">Barrier avoidance weight</t>
  </si>
  <si>
    <t xml:space="preserve">Mig. in area movement</t>
  </si>
  <si>
    <t xml:space="preserve">Group \ habitat #</t>
  </si>
  <si>
    <t xml:space="preserve">Prey \ predator</t>
  </si>
</sst>
</file>

<file path=xl/styles.xml><?xml version="1.0" encoding="utf-8"?>
<styleSheet xmlns="http://schemas.openxmlformats.org/spreadsheetml/2006/main">
  <numFmts count="4">
    <numFmt numFmtId="164" formatCode="General"/>
    <numFmt numFmtId="165" formatCode="0.000E+00"/>
    <numFmt numFmtId="166" formatCode="0.000"/>
    <numFmt numFmtId="167" formatCode="General"/>
  </numFmts>
  <fonts count="9">
    <font>
      <sz val="11"/>
      <color theme="1"/>
      <name val="Aptos Narrow"/>
      <family val="2"/>
      <charset val="1"/>
    </font>
    <font>
      <sz val="10"/>
      <name val="Arial"/>
      <family val="0"/>
    </font>
    <font>
      <sz val="10"/>
      <name val="Arial"/>
      <family val="0"/>
    </font>
    <font>
      <sz val="10"/>
      <name val="Arial"/>
      <family val="0"/>
    </font>
    <font>
      <b val="true"/>
      <sz val="14"/>
      <name val="Aptos Narrow"/>
      <family val="0"/>
      <charset val="1"/>
    </font>
    <font>
      <sz val="11"/>
      <name val="Aptos Narrow"/>
      <family val="0"/>
      <charset val="1"/>
    </font>
    <font>
      <b val="true"/>
      <sz val="11"/>
      <name val="Aptos Narrow"/>
      <family val="0"/>
      <charset val="1"/>
    </font>
    <font>
      <i val="true"/>
      <sz val="11"/>
      <name val="Aptos Narrow"/>
      <family val="0"/>
      <charset val="1"/>
    </font>
    <font>
      <sz val="10"/>
      <name val="Arial"/>
      <family val="2"/>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0" width="120"/>
  </cols>
  <sheetData>
    <row r="1" customFormat="false" ht="18.6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9.8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3" t="s">
        <v>4</v>
      </c>
    </row>
    <row r="8" customFormat="false" ht="29.85" hidden="false" customHeight="false" outlineLevel="0" collapsed="false">
      <c r="A8" s="2" t="s">
        <v>5</v>
      </c>
    </row>
    <row r="9" customFormat="false" ht="44" hidden="false" customHeight="false" outlineLevel="0" collapsed="false">
      <c r="A9" s="2" t="s">
        <v>6</v>
      </c>
    </row>
    <row r="10" customFormat="false" ht="29.85" hidden="false" customHeight="false" outlineLevel="0" collapsed="false">
      <c r="A10" s="2" t="s">
        <v>7</v>
      </c>
    </row>
    <row r="11" customFormat="false" ht="15" hidden="false" customHeight="false" outlineLevel="0" collapsed="false">
      <c r="A11" s="2"/>
    </row>
    <row r="12" customFormat="false" ht="15" hidden="false" customHeight="false" outlineLevel="0" collapsed="false">
      <c r="A12" s="3" t="s">
        <v>8</v>
      </c>
    </row>
    <row r="13" customFormat="false" ht="44" hidden="false" customHeight="false" outlineLevel="0" collapsed="false">
      <c r="A13" s="2" t="s">
        <v>9</v>
      </c>
    </row>
    <row r="14" customFormat="false" ht="15" hidden="false" customHeight="false" outlineLevel="0" collapsed="false">
      <c r="A14" s="2"/>
    </row>
    <row r="15" customFormat="false" ht="15" hidden="false" customHeight="false" outlineLevel="0" collapsed="false">
      <c r="A15" s="3" t="s">
        <v>10</v>
      </c>
    </row>
    <row r="16" customFormat="false" ht="29.85" hidden="false" customHeight="false" outlineLevel="0" collapsed="false">
      <c r="A16" s="2" t="s">
        <v>11</v>
      </c>
    </row>
    <row r="17" customFormat="false" ht="29.85" hidden="false" customHeight="false" outlineLevel="0" collapsed="false">
      <c r="A17" s="2" t="s">
        <v>12</v>
      </c>
    </row>
    <row r="18" customFormat="false" ht="15" hidden="false" customHeight="false" outlineLevel="0" collapsed="false">
      <c r="A18" s="2" t="s">
        <v>13</v>
      </c>
    </row>
    <row r="19" customFormat="false" ht="15" hidden="false" customHeight="false" outlineLevel="0" collapsed="false">
      <c r="A19" s="2" t="s">
        <v>14</v>
      </c>
    </row>
    <row r="20" customFormat="false" ht="15" hidden="false" customHeight="false" outlineLevel="0" collapsed="false">
      <c r="A20" s="2" t="s">
        <v>15</v>
      </c>
    </row>
    <row r="21" customFormat="false" ht="15" hidden="false" customHeight="false" outlineLevel="0" collapsed="false">
      <c r="A21" s="2"/>
    </row>
    <row r="22" customFormat="false" ht="15" hidden="false" customHeight="false" outlineLevel="0" collapsed="false">
      <c r="A22" s="3" t="s">
        <v>16</v>
      </c>
    </row>
    <row r="23" customFormat="false" ht="29.85" hidden="false" customHeight="false" outlineLevel="0" collapsed="false">
      <c r="A23"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 min="1" style="0" width="18"/>
    <col collapsed="false" customWidth="true" hidden="false" outlineLevel="0" max="2" min="2" style="0" width="26"/>
    <col collapsed="false" customWidth="true" hidden="false" outlineLevel="0" max="3" min="3" style="0" width="20"/>
    <col collapsed="false" customWidth="true" hidden="false" outlineLevel="0" max="5" min="4" style="0" width="10"/>
    <col collapsed="false" customWidth="true" hidden="false" outlineLevel="0" max="6" min="6" style="0" width="9"/>
    <col collapsed="false" customWidth="true" hidden="false" outlineLevel="0" max="7" min="7" style="0" width="90"/>
  </cols>
  <sheetData>
    <row r="1" customFormat="false" ht="15" hidden="false" customHeight="false" outlineLevel="0" collapsed="false">
      <c r="A1" s="3" t="s">
        <v>18</v>
      </c>
      <c r="B1" s="3" t="s">
        <v>19</v>
      </c>
      <c r="C1" s="3" t="s">
        <v>20</v>
      </c>
      <c r="D1" s="3" t="s">
        <v>21</v>
      </c>
      <c r="E1" s="3" t="s">
        <v>22</v>
      </c>
      <c r="F1" s="3" t="s">
        <v>23</v>
      </c>
      <c r="G1" s="3" t="s">
        <v>24</v>
      </c>
    </row>
    <row r="2" customFormat="false" ht="29.85" hidden="false" customHeight="false" outlineLevel="0" collapsed="false">
      <c r="A2" s="4" t="s">
        <v>25</v>
      </c>
      <c r="B2" s="4" t="s">
        <v>26</v>
      </c>
      <c r="C2" s="4" t="s">
        <v>27</v>
      </c>
      <c r="D2" s="4" t="n">
        <v>300</v>
      </c>
      <c r="E2" s="4" t="n">
        <v>50</v>
      </c>
      <c r="F2" s="4" t="s">
        <v>28</v>
      </c>
      <c r="G2" s="2" t="s">
        <v>29</v>
      </c>
    </row>
    <row r="3" customFormat="false" ht="44" hidden="false" customHeight="false" outlineLevel="0" collapsed="false">
      <c r="A3" s="4" t="s">
        <v>25</v>
      </c>
      <c r="B3" s="4" t="s">
        <v>30</v>
      </c>
      <c r="C3" s="4" t="s">
        <v>27</v>
      </c>
      <c r="D3" s="4" t="n">
        <v>300</v>
      </c>
      <c r="E3" s="4" t="n">
        <v>100</v>
      </c>
      <c r="F3" s="4" t="s">
        <v>28</v>
      </c>
      <c r="G3" s="2" t="s">
        <v>31</v>
      </c>
    </row>
    <row r="4" customFormat="false" ht="29.85" hidden="false" customHeight="false" outlineLevel="0" collapsed="false">
      <c r="A4" s="4" t="s">
        <v>25</v>
      </c>
      <c r="B4" s="4" t="s">
        <v>32</v>
      </c>
      <c r="C4" s="4" t="s">
        <v>27</v>
      </c>
      <c r="D4" s="4" t="n">
        <v>30000</v>
      </c>
      <c r="E4" s="4" t="n">
        <v>3000</v>
      </c>
      <c r="F4" s="4" t="s">
        <v>28</v>
      </c>
      <c r="G4" s="2" t="s">
        <v>33</v>
      </c>
    </row>
    <row r="5" customFormat="false" ht="29.85" hidden="false" customHeight="false" outlineLevel="0" collapsed="false">
      <c r="A5" s="4" t="s">
        <v>25</v>
      </c>
      <c r="B5" s="4" t="s">
        <v>34</v>
      </c>
      <c r="C5" s="4" t="s">
        <v>27</v>
      </c>
      <c r="D5" s="4" t="n">
        <v>300</v>
      </c>
      <c r="E5" s="4" t="n">
        <v>50</v>
      </c>
      <c r="F5" s="4" t="s">
        <v>28</v>
      </c>
      <c r="G5" s="2" t="s">
        <v>29</v>
      </c>
    </row>
    <row r="6" customFormat="false" ht="29.85" hidden="false" customHeight="false" outlineLevel="0" collapsed="false">
      <c r="A6" s="4" t="s">
        <v>25</v>
      </c>
      <c r="B6" s="4" t="s">
        <v>35</v>
      </c>
      <c r="C6" s="4" t="s">
        <v>27</v>
      </c>
      <c r="D6" s="4" t="n">
        <v>300</v>
      </c>
      <c r="E6" s="4" t="n">
        <v>50</v>
      </c>
      <c r="F6" s="4" t="s">
        <v>28</v>
      </c>
      <c r="G6" s="2" t="s">
        <v>29</v>
      </c>
    </row>
    <row r="7" customFormat="false" ht="29.85" hidden="false" customHeight="false" outlineLevel="0" collapsed="false">
      <c r="A7" s="4" t="s">
        <v>25</v>
      </c>
      <c r="B7" s="4" t="s">
        <v>36</v>
      </c>
      <c r="C7" s="4" t="s">
        <v>27</v>
      </c>
      <c r="D7" s="4" t="n">
        <v>300</v>
      </c>
      <c r="E7" s="4" t="n">
        <v>50</v>
      </c>
      <c r="F7" s="4" t="s">
        <v>28</v>
      </c>
      <c r="G7" s="2" t="s">
        <v>29</v>
      </c>
    </row>
    <row r="8" customFormat="false" ht="44" hidden="false" customHeight="false" outlineLevel="0" collapsed="false">
      <c r="A8" s="4" t="s">
        <v>37</v>
      </c>
      <c r="B8" s="4" t="s">
        <v>38</v>
      </c>
      <c r="C8" s="4" t="s">
        <v>39</v>
      </c>
      <c r="D8" s="4" t="n">
        <v>0</v>
      </c>
      <c r="E8" s="4" t="n">
        <v>1</v>
      </c>
      <c r="F8" s="4" t="s">
        <v>28</v>
      </c>
      <c r="G8" s="2" t="s">
        <v>40</v>
      </c>
    </row>
    <row r="9" customFormat="false" ht="44" hidden="false" customHeight="false" outlineLevel="0" collapsed="false">
      <c r="A9" s="4" t="s">
        <v>37</v>
      </c>
      <c r="B9" s="4" t="s">
        <v>38</v>
      </c>
      <c r="C9" s="4" t="s">
        <v>41</v>
      </c>
      <c r="D9" s="4" t="n">
        <v>1</v>
      </c>
      <c r="E9" s="4" t="n">
        <v>0</v>
      </c>
      <c r="F9" s="4" t="s">
        <v>28</v>
      </c>
      <c r="G9" s="2" t="s">
        <v>40</v>
      </c>
    </row>
    <row r="10" customFormat="false" ht="44" hidden="false" customHeight="false" outlineLevel="0" collapsed="false">
      <c r="A10" s="4" t="s">
        <v>37</v>
      </c>
      <c r="B10" s="4" t="s">
        <v>38</v>
      </c>
      <c r="C10" s="4" t="s">
        <v>42</v>
      </c>
      <c r="D10" s="4" t="n">
        <v>0.5</v>
      </c>
      <c r="E10" s="4" t="n">
        <v>0</v>
      </c>
      <c r="F10" s="4" t="s">
        <v>28</v>
      </c>
      <c r="G10" s="2" t="s">
        <v>40</v>
      </c>
    </row>
    <row r="11" customFormat="false" ht="44" hidden="false" customHeight="false" outlineLevel="0" collapsed="false">
      <c r="A11" s="4" t="s">
        <v>37</v>
      </c>
      <c r="B11" s="4" t="s">
        <v>38</v>
      </c>
      <c r="C11" s="4" t="s">
        <v>43</v>
      </c>
      <c r="D11" s="4" t="n">
        <v>0.9</v>
      </c>
      <c r="E11" s="4" t="n">
        <v>0</v>
      </c>
      <c r="F11" s="4" t="s">
        <v>28</v>
      </c>
      <c r="G11" s="2" t="s">
        <v>40</v>
      </c>
    </row>
    <row r="12" customFormat="false" ht="44" hidden="false" customHeight="false" outlineLevel="0" collapsed="false">
      <c r="A12" s="4" t="s">
        <v>37</v>
      </c>
      <c r="B12" s="4" t="s">
        <v>38</v>
      </c>
      <c r="C12" s="4" t="s">
        <v>44</v>
      </c>
      <c r="D12" s="4" t="n">
        <v>0.1</v>
      </c>
      <c r="E12" s="4" t="n">
        <v>0</v>
      </c>
      <c r="F12" s="4" t="s">
        <v>28</v>
      </c>
      <c r="G12" s="2" t="s">
        <v>40</v>
      </c>
    </row>
    <row r="13" customFormat="false" ht="44" hidden="false" customHeight="false" outlineLevel="0" collapsed="false">
      <c r="A13" s="4" t="s">
        <v>37</v>
      </c>
      <c r="B13" s="4" t="s">
        <v>38</v>
      </c>
      <c r="C13" s="4" t="s">
        <v>45</v>
      </c>
      <c r="D13" s="4" t="n">
        <v>0.1</v>
      </c>
      <c r="E13" s="4" t="n">
        <v>0</v>
      </c>
      <c r="F13" s="4" t="s">
        <v>28</v>
      </c>
      <c r="G13" s="2" t="s">
        <v>40</v>
      </c>
    </row>
    <row r="14" customFormat="false" ht="44" hidden="false" customHeight="false" outlineLevel="0" collapsed="false">
      <c r="A14" s="4" t="s">
        <v>37</v>
      </c>
      <c r="B14" s="4" t="s">
        <v>46</v>
      </c>
      <c r="C14" s="4" t="s">
        <v>39</v>
      </c>
      <c r="D14" s="4" t="n">
        <v>0</v>
      </c>
      <c r="E14" s="4" t="n">
        <v>1</v>
      </c>
      <c r="F14" s="4" t="s">
        <v>28</v>
      </c>
      <c r="G14" s="2" t="s">
        <v>40</v>
      </c>
    </row>
    <row r="15" customFormat="false" ht="44" hidden="false" customHeight="false" outlineLevel="0" collapsed="false">
      <c r="A15" s="4" t="s">
        <v>37</v>
      </c>
      <c r="B15" s="4" t="s">
        <v>46</v>
      </c>
      <c r="C15" s="4" t="s">
        <v>41</v>
      </c>
      <c r="D15" s="4" t="n">
        <v>1</v>
      </c>
      <c r="E15" s="4" t="n">
        <v>0</v>
      </c>
      <c r="F15" s="4" t="s">
        <v>28</v>
      </c>
      <c r="G15" s="2" t="s">
        <v>40</v>
      </c>
    </row>
    <row r="16" customFormat="false" ht="44" hidden="false" customHeight="false" outlineLevel="0" collapsed="false">
      <c r="A16" s="4" t="s">
        <v>37</v>
      </c>
      <c r="B16" s="4" t="s">
        <v>46</v>
      </c>
      <c r="C16" s="4" t="s">
        <v>42</v>
      </c>
      <c r="D16" s="4" t="n">
        <v>0.5</v>
      </c>
      <c r="E16" s="4" t="n">
        <v>0</v>
      </c>
      <c r="F16" s="4" t="s">
        <v>28</v>
      </c>
      <c r="G16" s="2" t="s">
        <v>40</v>
      </c>
    </row>
    <row r="17" customFormat="false" ht="44" hidden="false" customHeight="false" outlineLevel="0" collapsed="false">
      <c r="A17" s="4" t="s">
        <v>37</v>
      </c>
      <c r="B17" s="4" t="s">
        <v>46</v>
      </c>
      <c r="C17" s="4" t="s">
        <v>43</v>
      </c>
      <c r="D17" s="4" t="n">
        <v>0.5</v>
      </c>
      <c r="E17" s="4" t="n">
        <v>0</v>
      </c>
      <c r="F17" s="4" t="s">
        <v>28</v>
      </c>
      <c r="G17" s="2" t="s">
        <v>40</v>
      </c>
    </row>
    <row r="18" customFormat="false" ht="44" hidden="false" customHeight="false" outlineLevel="0" collapsed="false">
      <c r="A18" s="4" t="s">
        <v>37</v>
      </c>
      <c r="B18" s="4" t="s">
        <v>46</v>
      </c>
      <c r="C18" s="4" t="s">
        <v>44</v>
      </c>
      <c r="D18" s="4" t="n">
        <v>0.7</v>
      </c>
      <c r="E18" s="4" t="n">
        <v>0</v>
      </c>
      <c r="F18" s="4" t="s">
        <v>28</v>
      </c>
      <c r="G18" s="2" t="s">
        <v>40</v>
      </c>
    </row>
    <row r="19" customFormat="false" ht="44" hidden="false" customHeight="false" outlineLevel="0" collapsed="false">
      <c r="A19" s="4" t="s">
        <v>37</v>
      </c>
      <c r="B19" s="4" t="s">
        <v>46</v>
      </c>
      <c r="C19" s="4" t="s">
        <v>45</v>
      </c>
      <c r="D19" s="4" t="n">
        <v>0.8</v>
      </c>
      <c r="E19" s="4" t="n">
        <v>0</v>
      </c>
      <c r="F19" s="4" t="s">
        <v>28</v>
      </c>
      <c r="G19" s="2" t="s">
        <v>40</v>
      </c>
    </row>
    <row r="20" customFormat="false" ht="44" hidden="false" customHeight="false" outlineLevel="0" collapsed="false">
      <c r="A20" s="4" t="s">
        <v>37</v>
      </c>
      <c r="B20" s="4" t="s">
        <v>47</v>
      </c>
      <c r="C20" s="4" t="s">
        <v>39</v>
      </c>
      <c r="D20" s="4" t="n">
        <v>0</v>
      </c>
      <c r="E20" s="4" t="n">
        <v>1</v>
      </c>
      <c r="F20" s="4" t="s">
        <v>28</v>
      </c>
      <c r="G20" s="2" t="s">
        <v>40</v>
      </c>
    </row>
    <row r="21" customFormat="false" ht="44" hidden="false" customHeight="false" outlineLevel="0" collapsed="false">
      <c r="A21" s="4" t="s">
        <v>37</v>
      </c>
      <c r="B21" s="4" t="s">
        <v>47</v>
      </c>
      <c r="C21" s="4" t="s">
        <v>41</v>
      </c>
      <c r="D21" s="4" t="n">
        <v>1</v>
      </c>
      <c r="E21" s="4" t="n">
        <v>0</v>
      </c>
      <c r="F21" s="4" t="s">
        <v>28</v>
      </c>
      <c r="G21" s="2" t="s">
        <v>40</v>
      </c>
    </row>
    <row r="22" customFormat="false" ht="44" hidden="false" customHeight="false" outlineLevel="0" collapsed="false">
      <c r="A22" s="4" t="s">
        <v>37</v>
      </c>
      <c r="B22" s="4" t="s">
        <v>47</v>
      </c>
      <c r="C22" s="4" t="s">
        <v>42</v>
      </c>
      <c r="D22" s="4" t="n">
        <v>0.3</v>
      </c>
      <c r="E22" s="4" t="n">
        <v>0</v>
      </c>
      <c r="F22" s="4" t="s">
        <v>28</v>
      </c>
      <c r="G22" s="2" t="s">
        <v>40</v>
      </c>
    </row>
    <row r="23" customFormat="false" ht="44" hidden="false" customHeight="false" outlineLevel="0" collapsed="false">
      <c r="A23" s="4" t="s">
        <v>37</v>
      </c>
      <c r="B23" s="4" t="s">
        <v>47</v>
      </c>
      <c r="C23" s="4" t="s">
        <v>43</v>
      </c>
      <c r="D23" s="4" t="n">
        <v>0.2</v>
      </c>
      <c r="E23" s="4" t="n">
        <v>0</v>
      </c>
      <c r="F23" s="4" t="s">
        <v>28</v>
      </c>
      <c r="G23" s="2" t="s">
        <v>40</v>
      </c>
    </row>
    <row r="24" customFormat="false" ht="44" hidden="false" customHeight="false" outlineLevel="0" collapsed="false">
      <c r="A24" s="4" t="s">
        <v>37</v>
      </c>
      <c r="B24" s="4" t="s">
        <v>47</v>
      </c>
      <c r="C24" s="4" t="s">
        <v>44</v>
      </c>
      <c r="D24" s="4" t="n">
        <v>0.9</v>
      </c>
      <c r="E24" s="4" t="n">
        <v>0</v>
      </c>
      <c r="F24" s="4" t="s">
        <v>28</v>
      </c>
      <c r="G24" s="2" t="s">
        <v>40</v>
      </c>
    </row>
    <row r="25" customFormat="false" ht="44" hidden="false" customHeight="false" outlineLevel="0" collapsed="false">
      <c r="A25" s="4" t="s">
        <v>37</v>
      </c>
      <c r="B25" s="4" t="s">
        <v>47</v>
      </c>
      <c r="C25" s="4" t="s">
        <v>45</v>
      </c>
      <c r="D25" s="4" t="n">
        <v>0.8</v>
      </c>
      <c r="E25" s="4" t="n">
        <v>0</v>
      </c>
      <c r="F25" s="4" t="s">
        <v>28</v>
      </c>
      <c r="G25" s="2" t="s">
        <v>40</v>
      </c>
    </row>
    <row r="26" customFormat="false" ht="44" hidden="false" customHeight="false" outlineLevel="0" collapsed="false">
      <c r="A26" s="4" t="s">
        <v>37</v>
      </c>
      <c r="B26" s="4" t="s">
        <v>48</v>
      </c>
      <c r="C26" s="4" t="s">
        <v>39</v>
      </c>
      <c r="D26" s="4" t="n">
        <v>0</v>
      </c>
      <c r="E26" s="4" t="n">
        <v>1</v>
      </c>
      <c r="F26" s="4" t="s">
        <v>28</v>
      </c>
      <c r="G26" s="2" t="s">
        <v>40</v>
      </c>
    </row>
    <row r="27" customFormat="false" ht="44" hidden="false" customHeight="false" outlineLevel="0" collapsed="false">
      <c r="A27" s="4" t="s">
        <v>37</v>
      </c>
      <c r="B27" s="4" t="s">
        <v>48</v>
      </c>
      <c r="C27" s="4" t="s">
        <v>41</v>
      </c>
      <c r="D27" s="4" t="n">
        <v>1</v>
      </c>
      <c r="E27" s="4" t="n">
        <v>0</v>
      </c>
      <c r="F27" s="4" t="s">
        <v>28</v>
      </c>
      <c r="G27" s="2" t="s">
        <v>40</v>
      </c>
    </row>
    <row r="28" customFormat="false" ht="44" hidden="false" customHeight="false" outlineLevel="0" collapsed="false">
      <c r="A28" s="4" t="s">
        <v>37</v>
      </c>
      <c r="B28" s="4" t="s">
        <v>48</v>
      </c>
      <c r="C28" s="4" t="s">
        <v>42</v>
      </c>
      <c r="D28" s="4" t="n">
        <v>0.1</v>
      </c>
      <c r="E28" s="4" t="n">
        <v>0</v>
      </c>
      <c r="F28" s="4" t="s">
        <v>28</v>
      </c>
      <c r="G28" s="2" t="s">
        <v>40</v>
      </c>
    </row>
    <row r="29" customFormat="false" ht="44" hidden="false" customHeight="false" outlineLevel="0" collapsed="false">
      <c r="A29" s="4" t="s">
        <v>37</v>
      </c>
      <c r="B29" s="4" t="s">
        <v>48</v>
      </c>
      <c r="C29" s="4" t="s">
        <v>43</v>
      </c>
      <c r="D29" s="4" t="n">
        <v>0.1</v>
      </c>
      <c r="E29" s="4" t="n">
        <v>0</v>
      </c>
      <c r="F29" s="4" t="s">
        <v>28</v>
      </c>
      <c r="G29" s="2" t="s">
        <v>40</v>
      </c>
    </row>
    <row r="30" customFormat="false" ht="44" hidden="false" customHeight="false" outlineLevel="0" collapsed="false">
      <c r="A30" s="4" t="s">
        <v>37</v>
      </c>
      <c r="B30" s="4" t="s">
        <v>48</v>
      </c>
      <c r="C30" s="4" t="s">
        <v>44</v>
      </c>
      <c r="D30" s="4" t="n">
        <v>0.1</v>
      </c>
      <c r="E30" s="4" t="n">
        <v>0</v>
      </c>
      <c r="F30" s="4" t="s">
        <v>28</v>
      </c>
      <c r="G30" s="2" t="s">
        <v>40</v>
      </c>
    </row>
    <row r="31" customFormat="false" ht="44" hidden="false" customHeight="false" outlineLevel="0" collapsed="false">
      <c r="A31" s="4" t="s">
        <v>37</v>
      </c>
      <c r="B31" s="4" t="s">
        <v>48</v>
      </c>
      <c r="C31" s="4" t="s">
        <v>45</v>
      </c>
      <c r="D31" s="4" t="n">
        <v>0.1</v>
      </c>
      <c r="E31" s="4" t="n">
        <v>0</v>
      </c>
      <c r="F31" s="4" t="s">
        <v>28</v>
      </c>
      <c r="G31" s="2" t="s">
        <v>40</v>
      </c>
    </row>
    <row r="32" customFormat="false" ht="44" hidden="false" customHeight="false" outlineLevel="0" collapsed="false">
      <c r="A32" s="4" t="s">
        <v>37</v>
      </c>
      <c r="B32" s="4" t="s">
        <v>49</v>
      </c>
      <c r="C32" s="4" t="s">
        <v>39</v>
      </c>
      <c r="D32" s="4" t="n">
        <v>0</v>
      </c>
      <c r="E32" s="4" t="n">
        <v>1</v>
      </c>
      <c r="F32" s="4" t="s">
        <v>28</v>
      </c>
      <c r="G32" s="2" t="s">
        <v>40</v>
      </c>
    </row>
    <row r="33" customFormat="false" ht="44" hidden="false" customHeight="false" outlineLevel="0" collapsed="false">
      <c r="A33" s="4" t="s">
        <v>37</v>
      </c>
      <c r="B33" s="4" t="s">
        <v>49</v>
      </c>
      <c r="C33" s="4" t="s">
        <v>41</v>
      </c>
      <c r="D33" s="4" t="n">
        <v>1</v>
      </c>
      <c r="E33" s="4" t="n">
        <v>0</v>
      </c>
      <c r="F33" s="4" t="s">
        <v>28</v>
      </c>
      <c r="G33" s="2" t="s">
        <v>40</v>
      </c>
    </row>
    <row r="34" customFormat="false" ht="44" hidden="false" customHeight="false" outlineLevel="0" collapsed="false">
      <c r="A34" s="4" t="s">
        <v>37</v>
      </c>
      <c r="B34" s="4" t="s">
        <v>49</v>
      </c>
      <c r="C34" s="4" t="s">
        <v>42</v>
      </c>
      <c r="D34" s="4" t="n">
        <v>0.1</v>
      </c>
      <c r="E34" s="4" t="n">
        <v>0</v>
      </c>
      <c r="F34" s="4" t="s">
        <v>28</v>
      </c>
      <c r="G34" s="2" t="s">
        <v>40</v>
      </c>
    </row>
    <row r="35" customFormat="false" ht="44" hidden="false" customHeight="false" outlineLevel="0" collapsed="false">
      <c r="A35" s="4" t="s">
        <v>37</v>
      </c>
      <c r="B35" s="4" t="s">
        <v>49</v>
      </c>
      <c r="C35" s="4" t="s">
        <v>43</v>
      </c>
      <c r="D35" s="4" t="n">
        <v>0.1</v>
      </c>
      <c r="E35" s="4" t="n">
        <v>0</v>
      </c>
      <c r="F35" s="4" t="s">
        <v>28</v>
      </c>
      <c r="G35" s="2" t="s">
        <v>40</v>
      </c>
    </row>
    <row r="36" customFormat="false" ht="44" hidden="false" customHeight="false" outlineLevel="0" collapsed="false">
      <c r="A36" s="4" t="s">
        <v>37</v>
      </c>
      <c r="B36" s="4" t="s">
        <v>49</v>
      </c>
      <c r="C36" s="4" t="s">
        <v>44</v>
      </c>
      <c r="D36" s="4" t="n">
        <v>0.1</v>
      </c>
      <c r="E36" s="4" t="n">
        <v>0</v>
      </c>
      <c r="F36" s="4" t="s">
        <v>28</v>
      </c>
      <c r="G36" s="2" t="s">
        <v>40</v>
      </c>
    </row>
    <row r="37" customFormat="false" ht="44" hidden="false" customHeight="false" outlineLevel="0" collapsed="false">
      <c r="A37" s="4" t="s">
        <v>37</v>
      </c>
      <c r="B37" s="4" t="s">
        <v>49</v>
      </c>
      <c r="C37" s="4" t="s">
        <v>45</v>
      </c>
      <c r="D37" s="4" t="n">
        <v>0.1</v>
      </c>
      <c r="E37" s="4" t="n">
        <v>0</v>
      </c>
      <c r="F37" s="4" t="s">
        <v>28</v>
      </c>
      <c r="G37" s="2" t="s">
        <v>40</v>
      </c>
    </row>
    <row r="38" customFormat="false" ht="44" hidden="false" customHeight="false" outlineLevel="0" collapsed="false">
      <c r="A38" s="4" t="s">
        <v>37</v>
      </c>
      <c r="B38" s="4" t="s">
        <v>50</v>
      </c>
      <c r="C38" s="4" t="s">
        <v>39</v>
      </c>
      <c r="D38" s="4" t="n">
        <v>0</v>
      </c>
      <c r="E38" s="4" t="n">
        <v>1</v>
      </c>
      <c r="F38" s="4" t="s">
        <v>28</v>
      </c>
      <c r="G38" s="2" t="s">
        <v>40</v>
      </c>
    </row>
    <row r="39" customFormat="false" ht="44" hidden="false" customHeight="false" outlineLevel="0" collapsed="false">
      <c r="A39" s="4" t="s">
        <v>37</v>
      </c>
      <c r="B39" s="4" t="s">
        <v>50</v>
      </c>
      <c r="C39" s="4" t="s">
        <v>41</v>
      </c>
      <c r="D39" s="4" t="n">
        <v>1</v>
      </c>
      <c r="E39" s="4" t="n">
        <v>0</v>
      </c>
      <c r="F39" s="4" t="s">
        <v>28</v>
      </c>
      <c r="G39" s="2" t="s">
        <v>40</v>
      </c>
    </row>
    <row r="40" customFormat="false" ht="44" hidden="false" customHeight="false" outlineLevel="0" collapsed="false">
      <c r="A40" s="4" t="s">
        <v>37</v>
      </c>
      <c r="B40" s="4" t="s">
        <v>50</v>
      </c>
      <c r="C40" s="4" t="s">
        <v>42</v>
      </c>
      <c r="D40" s="4" t="n">
        <v>0.1</v>
      </c>
      <c r="E40" s="4" t="n">
        <v>0</v>
      </c>
      <c r="F40" s="4" t="s">
        <v>28</v>
      </c>
      <c r="G40" s="2" t="s">
        <v>40</v>
      </c>
    </row>
    <row r="41" customFormat="false" ht="44" hidden="false" customHeight="false" outlineLevel="0" collapsed="false">
      <c r="A41" s="4" t="s">
        <v>37</v>
      </c>
      <c r="B41" s="4" t="s">
        <v>50</v>
      </c>
      <c r="C41" s="4" t="s">
        <v>43</v>
      </c>
      <c r="D41" s="4" t="n">
        <v>0.1</v>
      </c>
      <c r="E41" s="4" t="n">
        <v>0</v>
      </c>
      <c r="F41" s="4" t="s">
        <v>28</v>
      </c>
      <c r="G41" s="2" t="s">
        <v>40</v>
      </c>
    </row>
    <row r="42" customFormat="false" ht="44" hidden="false" customHeight="false" outlineLevel="0" collapsed="false">
      <c r="A42" s="4" t="s">
        <v>37</v>
      </c>
      <c r="B42" s="4" t="s">
        <v>50</v>
      </c>
      <c r="C42" s="4" t="s">
        <v>44</v>
      </c>
      <c r="D42" s="4" t="n">
        <v>0.1</v>
      </c>
      <c r="E42" s="4" t="n">
        <v>0</v>
      </c>
      <c r="F42" s="4" t="s">
        <v>28</v>
      </c>
      <c r="G42" s="2" t="s">
        <v>40</v>
      </c>
    </row>
    <row r="43" customFormat="false" ht="44" hidden="false" customHeight="false" outlineLevel="0" collapsed="false">
      <c r="A43" s="4" t="s">
        <v>37</v>
      </c>
      <c r="B43" s="4" t="s">
        <v>50</v>
      </c>
      <c r="C43" s="4" t="s">
        <v>45</v>
      </c>
      <c r="D43" s="4" t="n">
        <v>0.1</v>
      </c>
      <c r="E43" s="4" t="n">
        <v>0</v>
      </c>
      <c r="F43" s="4" t="s">
        <v>28</v>
      </c>
      <c r="G43" s="2" t="s">
        <v>40</v>
      </c>
    </row>
    <row r="44" customFormat="false" ht="44" hidden="false" customHeight="false" outlineLevel="0" collapsed="false">
      <c r="A44" s="4" t="s">
        <v>37</v>
      </c>
      <c r="B44" s="4" t="s">
        <v>51</v>
      </c>
      <c r="C44" s="4" t="s">
        <v>39</v>
      </c>
      <c r="D44" s="4" t="n">
        <v>0</v>
      </c>
      <c r="E44" s="4" t="n">
        <v>1</v>
      </c>
      <c r="F44" s="4" t="s">
        <v>28</v>
      </c>
      <c r="G44" s="2" t="s">
        <v>40</v>
      </c>
    </row>
    <row r="45" customFormat="false" ht="44" hidden="false" customHeight="false" outlineLevel="0" collapsed="false">
      <c r="A45" s="4" t="s">
        <v>37</v>
      </c>
      <c r="B45" s="4" t="s">
        <v>51</v>
      </c>
      <c r="C45" s="4" t="s">
        <v>41</v>
      </c>
      <c r="D45" s="4" t="n">
        <v>1</v>
      </c>
      <c r="E45" s="4" t="n">
        <v>0</v>
      </c>
      <c r="F45" s="4" t="s">
        <v>28</v>
      </c>
      <c r="G45" s="2" t="s">
        <v>40</v>
      </c>
    </row>
    <row r="46" customFormat="false" ht="44" hidden="false" customHeight="false" outlineLevel="0" collapsed="false">
      <c r="A46" s="4" t="s">
        <v>37</v>
      </c>
      <c r="B46" s="4" t="s">
        <v>51</v>
      </c>
      <c r="C46" s="4" t="s">
        <v>42</v>
      </c>
      <c r="D46" s="4" t="n">
        <v>0.2</v>
      </c>
      <c r="E46" s="4" t="n">
        <v>0</v>
      </c>
      <c r="F46" s="4" t="s">
        <v>28</v>
      </c>
      <c r="G46" s="2" t="s">
        <v>40</v>
      </c>
    </row>
    <row r="47" customFormat="false" ht="44" hidden="false" customHeight="false" outlineLevel="0" collapsed="false">
      <c r="A47" s="4" t="s">
        <v>37</v>
      </c>
      <c r="B47" s="4" t="s">
        <v>51</v>
      </c>
      <c r="C47" s="4" t="s">
        <v>43</v>
      </c>
      <c r="D47" s="4" t="n">
        <v>0.1</v>
      </c>
      <c r="E47" s="4" t="n">
        <v>0</v>
      </c>
      <c r="F47" s="4" t="s">
        <v>28</v>
      </c>
      <c r="G47" s="2" t="s">
        <v>40</v>
      </c>
    </row>
    <row r="48" customFormat="false" ht="44" hidden="false" customHeight="false" outlineLevel="0" collapsed="false">
      <c r="A48" s="4" t="s">
        <v>37</v>
      </c>
      <c r="B48" s="4" t="s">
        <v>51</v>
      </c>
      <c r="C48" s="4" t="s">
        <v>44</v>
      </c>
      <c r="D48" s="4" t="n">
        <v>0.9</v>
      </c>
      <c r="E48" s="4" t="n">
        <v>0</v>
      </c>
      <c r="F48" s="4" t="s">
        <v>28</v>
      </c>
      <c r="G48" s="2" t="s">
        <v>40</v>
      </c>
    </row>
    <row r="49" customFormat="false" ht="44" hidden="false" customHeight="false" outlineLevel="0" collapsed="false">
      <c r="A49" s="4" t="s">
        <v>37</v>
      </c>
      <c r="B49" s="4" t="s">
        <v>51</v>
      </c>
      <c r="C49" s="4" t="s">
        <v>45</v>
      </c>
      <c r="D49" s="4" t="n">
        <v>0.8</v>
      </c>
      <c r="E49" s="4" t="n">
        <v>0</v>
      </c>
      <c r="F49" s="4" t="s">
        <v>28</v>
      </c>
      <c r="G49" s="2" t="s">
        <v>40</v>
      </c>
    </row>
    <row r="50" customFormat="false" ht="44" hidden="false" customHeight="false" outlineLevel="0" collapsed="false">
      <c r="A50" s="4" t="s">
        <v>37</v>
      </c>
      <c r="B50" s="4" t="s">
        <v>32</v>
      </c>
      <c r="C50" s="4" t="s">
        <v>39</v>
      </c>
      <c r="D50" s="4" t="n">
        <v>0</v>
      </c>
      <c r="E50" s="4" t="n">
        <v>1</v>
      </c>
      <c r="F50" s="4" t="s">
        <v>28</v>
      </c>
      <c r="G50" s="2" t="s">
        <v>40</v>
      </c>
    </row>
    <row r="51" customFormat="false" ht="44" hidden="false" customHeight="false" outlineLevel="0" collapsed="false">
      <c r="A51" s="4" t="s">
        <v>37</v>
      </c>
      <c r="B51" s="4" t="s">
        <v>32</v>
      </c>
      <c r="C51" s="4" t="s">
        <v>41</v>
      </c>
      <c r="D51" s="4" t="n">
        <v>1</v>
      </c>
      <c r="E51" s="4" t="n">
        <v>0</v>
      </c>
      <c r="F51" s="4" t="s">
        <v>28</v>
      </c>
      <c r="G51" s="2" t="s">
        <v>40</v>
      </c>
    </row>
    <row r="52" customFormat="false" ht="44" hidden="false" customHeight="false" outlineLevel="0" collapsed="false">
      <c r="A52" s="4" t="s">
        <v>37</v>
      </c>
      <c r="B52" s="4" t="s">
        <v>32</v>
      </c>
      <c r="C52" s="4" t="s">
        <v>42</v>
      </c>
      <c r="D52" s="4" t="n">
        <v>0.1</v>
      </c>
      <c r="E52" s="4" t="n">
        <v>0</v>
      </c>
      <c r="F52" s="4" t="s">
        <v>28</v>
      </c>
      <c r="G52" s="2" t="s">
        <v>40</v>
      </c>
    </row>
    <row r="53" customFormat="false" ht="44" hidden="false" customHeight="false" outlineLevel="0" collapsed="false">
      <c r="A53" s="4" t="s">
        <v>37</v>
      </c>
      <c r="B53" s="4" t="s">
        <v>32</v>
      </c>
      <c r="C53" s="4" t="s">
        <v>43</v>
      </c>
      <c r="D53" s="4" t="n">
        <v>0.1</v>
      </c>
      <c r="E53" s="4" t="n">
        <v>0</v>
      </c>
      <c r="F53" s="4" t="s">
        <v>28</v>
      </c>
      <c r="G53" s="2" t="s">
        <v>40</v>
      </c>
    </row>
    <row r="54" customFormat="false" ht="44" hidden="false" customHeight="false" outlineLevel="0" collapsed="false">
      <c r="A54" s="4" t="s">
        <v>37</v>
      </c>
      <c r="B54" s="4" t="s">
        <v>32</v>
      </c>
      <c r="C54" s="4" t="s">
        <v>44</v>
      </c>
      <c r="D54" s="4" t="n">
        <v>0.1</v>
      </c>
      <c r="E54" s="4" t="n">
        <v>0</v>
      </c>
      <c r="F54" s="4" t="s">
        <v>28</v>
      </c>
      <c r="G54" s="2" t="s">
        <v>40</v>
      </c>
    </row>
    <row r="55" customFormat="false" ht="44" hidden="false" customHeight="false" outlineLevel="0" collapsed="false">
      <c r="A55" s="4" t="s">
        <v>37</v>
      </c>
      <c r="B55" s="4" t="s">
        <v>32</v>
      </c>
      <c r="C55" s="4" t="s">
        <v>45</v>
      </c>
      <c r="D55" s="4" t="n">
        <v>0.2</v>
      </c>
      <c r="E55" s="4" t="n">
        <v>0</v>
      </c>
      <c r="F55" s="4" t="s">
        <v>28</v>
      </c>
      <c r="G55" s="2" t="s">
        <v>40</v>
      </c>
    </row>
    <row r="56" customFormat="false" ht="44" hidden="false" customHeight="false" outlineLevel="0" collapsed="false">
      <c r="A56" s="4" t="s">
        <v>37</v>
      </c>
      <c r="B56" s="4" t="s">
        <v>52</v>
      </c>
      <c r="C56" s="4" t="s">
        <v>39</v>
      </c>
      <c r="D56" s="4" t="n">
        <v>0</v>
      </c>
      <c r="E56" s="4" t="n">
        <v>1</v>
      </c>
      <c r="F56" s="4" t="s">
        <v>28</v>
      </c>
      <c r="G56" s="2" t="s">
        <v>40</v>
      </c>
    </row>
    <row r="57" customFormat="false" ht="44" hidden="false" customHeight="false" outlineLevel="0" collapsed="false">
      <c r="A57" s="4" t="s">
        <v>37</v>
      </c>
      <c r="B57" s="4" t="s">
        <v>52</v>
      </c>
      <c r="C57" s="4" t="s">
        <v>41</v>
      </c>
      <c r="D57" s="4" t="n">
        <v>1</v>
      </c>
      <c r="E57" s="4" t="n">
        <v>0</v>
      </c>
      <c r="F57" s="4" t="s">
        <v>28</v>
      </c>
      <c r="G57" s="2" t="s">
        <v>40</v>
      </c>
    </row>
    <row r="58" customFormat="false" ht="44" hidden="false" customHeight="false" outlineLevel="0" collapsed="false">
      <c r="A58" s="4" t="s">
        <v>37</v>
      </c>
      <c r="B58" s="4" t="s">
        <v>52</v>
      </c>
      <c r="C58" s="4" t="s">
        <v>42</v>
      </c>
      <c r="D58" s="4" t="n">
        <v>0.3</v>
      </c>
      <c r="E58" s="4" t="n">
        <v>0</v>
      </c>
      <c r="F58" s="4" t="s">
        <v>28</v>
      </c>
      <c r="G58" s="2" t="s">
        <v>40</v>
      </c>
    </row>
    <row r="59" customFormat="false" ht="44" hidden="false" customHeight="false" outlineLevel="0" collapsed="false">
      <c r="A59" s="4" t="s">
        <v>37</v>
      </c>
      <c r="B59" s="4" t="s">
        <v>52</v>
      </c>
      <c r="C59" s="4" t="s">
        <v>43</v>
      </c>
      <c r="D59" s="4" t="n">
        <v>0.3</v>
      </c>
      <c r="E59" s="4" t="n">
        <v>0</v>
      </c>
      <c r="F59" s="4" t="s">
        <v>28</v>
      </c>
      <c r="G59" s="2" t="s">
        <v>40</v>
      </c>
    </row>
    <row r="60" customFormat="false" ht="44" hidden="false" customHeight="false" outlineLevel="0" collapsed="false">
      <c r="A60" s="4" t="s">
        <v>37</v>
      </c>
      <c r="B60" s="4" t="s">
        <v>52</v>
      </c>
      <c r="C60" s="4" t="s">
        <v>44</v>
      </c>
      <c r="D60" s="4" t="n">
        <v>0.6</v>
      </c>
      <c r="E60" s="4" t="n">
        <v>0</v>
      </c>
      <c r="F60" s="4" t="s">
        <v>28</v>
      </c>
      <c r="G60" s="2" t="s">
        <v>40</v>
      </c>
    </row>
    <row r="61" customFormat="false" ht="44" hidden="false" customHeight="false" outlineLevel="0" collapsed="false">
      <c r="A61" s="4" t="s">
        <v>37</v>
      </c>
      <c r="B61" s="4" t="s">
        <v>52</v>
      </c>
      <c r="C61" s="4" t="s">
        <v>45</v>
      </c>
      <c r="D61" s="4" t="n">
        <v>0.5</v>
      </c>
      <c r="E61" s="4" t="n">
        <v>0</v>
      </c>
      <c r="F61" s="4" t="s">
        <v>28</v>
      </c>
      <c r="G61" s="2" t="s">
        <v>40</v>
      </c>
    </row>
    <row r="62" customFormat="false" ht="29.85" hidden="false" customHeight="false" outlineLevel="0" collapsed="false">
      <c r="A62" s="4" t="s">
        <v>37</v>
      </c>
      <c r="B62" s="4" t="s">
        <v>53</v>
      </c>
      <c r="C62" s="4" t="s">
        <v>41</v>
      </c>
      <c r="D62" s="4" t="n">
        <v>1</v>
      </c>
      <c r="E62" s="4" t="n">
        <v>0.4</v>
      </c>
      <c r="F62" s="4" t="s">
        <v>28</v>
      </c>
      <c r="G62" s="2" t="s">
        <v>54</v>
      </c>
    </row>
    <row r="63" customFormat="false" ht="29.85" hidden="false" customHeight="false" outlineLevel="0" collapsed="false">
      <c r="A63" s="4" t="s">
        <v>37</v>
      </c>
      <c r="B63" s="4" t="s">
        <v>53</v>
      </c>
      <c r="C63" s="4" t="s">
        <v>43</v>
      </c>
      <c r="D63" s="4" t="n">
        <v>0.7</v>
      </c>
      <c r="E63" s="4" t="n">
        <v>0.3</v>
      </c>
      <c r="F63" s="4" t="s">
        <v>28</v>
      </c>
      <c r="G63" s="2" t="s">
        <v>54</v>
      </c>
    </row>
    <row r="64" customFormat="false" ht="29.85" hidden="false" customHeight="false" outlineLevel="0" collapsed="false">
      <c r="A64" s="4" t="s">
        <v>37</v>
      </c>
      <c r="B64" s="4" t="s">
        <v>53</v>
      </c>
      <c r="C64" s="4" t="s">
        <v>44</v>
      </c>
      <c r="D64" s="4" t="n">
        <v>0.2</v>
      </c>
      <c r="E64" s="4" t="n">
        <v>0.5</v>
      </c>
      <c r="F64" s="4" t="s">
        <v>28</v>
      </c>
      <c r="G64" s="2" t="s">
        <v>54</v>
      </c>
    </row>
    <row r="65" customFormat="false" ht="29.85" hidden="false" customHeight="false" outlineLevel="0" collapsed="false">
      <c r="A65" s="4" t="s">
        <v>37</v>
      </c>
      <c r="B65" s="4" t="s">
        <v>53</v>
      </c>
      <c r="C65" s="4" t="s">
        <v>45</v>
      </c>
      <c r="D65" s="4" t="n">
        <v>0.3</v>
      </c>
      <c r="E65" s="4" t="n">
        <v>0.9</v>
      </c>
      <c r="F65" s="4" t="s">
        <v>28</v>
      </c>
      <c r="G65" s="2" t="s">
        <v>54</v>
      </c>
    </row>
    <row r="66" customFormat="false" ht="15" hidden="false" customHeight="false" outlineLevel="0" collapsed="false">
      <c r="A66" s="4" t="s">
        <v>37</v>
      </c>
      <c r="B66" s="4" t="s">
        <v>55</v>
      </c>
      <c r="C66" s="4" t="s">
        <v>41</v>
      </c>
      <c r="D66" s="4" t="n">
        <v>1</v>
      </c>
      <c r="E66" s="4" t="n">
        <v>0</v>
      </c>
      <c r="F66" s="4" t="s">
        <v>28</v>
      </c>
      <c r="G66" s="2" t="s">
        <v>56</v>
      </c>
    </row>
    <row r="67" customFormat="false" ht="15" hidden="false" customHeight="false" outlineLevel="0" collapsed="false">
      <c r="A67" s="4" t="s">
        <v>37</v>
      </c>
      <c r="B67" s="4" t="s">
        <v>55</v>
      </c>
      <c r="C67" s="4" t="s">
        <v>42</v>
      </c>
      <c r="D67" s="4" t="n">
        <v>0.4</v>
      </c>
      <c r="E67" s="4" t="n">
        <v>0.1</v>
      </c>
      <c r="F67" s="4" t="s">
        <v>28</v>
      </c>
      <c r="G67" s="2" t="s">
        <v>56</v>
      </c>
    </row>
    <row r="68" customFormat="false" ht="15" hidden="false" customHeight="false" outlineLevel="0" collapsed="false">
      <c r="A68" s="4" t="s">
        <v>37</v>
      </c>
      <c r="B68" s="4" t="s">
        <v>55</v>
      </c>
      <c r="C68" s="4" t="s">
        <v>43</v>
      </c>
      <c r="D68" s="4" t="n">
        <v>0.8</v>
      </c>
      <c r="E68" s="4" t="n">
        <v>0</v>
      </c>
      <c r="F68" s="4" t="s">
        <v>28</v>
      </c>
      <c r="G68" s="2" t="s">
        <v>56</v>
      </c>
    </row>
    <row r="69" customFormat="false" ht="15" hidden="false" customHeight="false" outlineLevel="0" collapsed="false">
      <c r="A69" s="4" t="s">
        <v>37</v>
      </c>
      <c r="B69" s="4" t="s">
        <v>55</v>
      </c>
      <c r="C69" s="4" t="s">
        <v>44</v>
      </c>
      <c r="D69" s="4" t="n">
        <v>0.1</v>
      </c>
      <c r="E69" s="4" t="n">
        <v>0.6</v>
      </c>
      <c r="F69" s="4" t="s">
        <v>28</v>
      </c>
      <c r="G69" s="2" t="s">
        <v>56</v>
      </c>
    </row>
    <row r="70" customFormat="false" ht="15" hidden="false" customHeight="false" outlineLevel="0" collapsed="false">
      <c r="A70" s="4" t="s">
        <v>37</v>
      </c>
      <c r="B70" s="4" t="s">
        <v>55</v>
      </c>
      <c r="C70" s="4" t="s">
        <v>45</v>
      </c>
      <c r="D70" s="4" t="n">
        <v>0.1</v>
      </c>
      <c r="E70" s="4" t="n">
        <v>0.9</v>
      </c>
      <c r="F70" s="4" t="s">
        <v>28</v>
      </c>
      <c r="G70" s="2" t="s">
        <v>56</v>
      </c>
    </row>
    <row r="71" customFormat="false" ht="44" hidden="false" customHeight="false" outlineLevel="0" collapsed="false">
      <c r="A71" s="4" t="s">
        <v>37</v>
      </c>
      <c r="B71" s="4" t="s">
        <v>57</v>
      </c>
      <c r="C71" s="4" t="s">
        <v>39</v>
      </c>
      <c r="D71" s="4" t="n">
        <v>0</v>
      </c>
      <c r="E71" s="4" t="n">
        <v>1</v>
      </c>
      <c r="F71" s="4" t="s">
        <v>28</v>
      </c>
      <c r="G71" s="2" t="s">
        <v>40</v>
      </c>
    </row>
    <row r="72" customFormat="false" ht="44" hidden="false" customHeight="false" outlineLevel="0" collapsed="false">
      <c r="A72" s="4" t="s">
        <v>37</v>
      </c>
      <c r="B72" s="4" t="s">
        <v>57</v>
      </c>
      <c r="C72" s="4" t="s">
        <v>41</v>
      </c>
      <c r="D72" s="4" t="n">
        <v>1</v>
      </c>
      <c r="E72" s="4" t="n">
        <v>0</v>
      </c>
      <c r="F72" s="4" t="s">
        <v>28</v>
      </c>
      <c r="G72" s="2" t="s">
        <v>40</v>
      </c>
    </row>
    <row r="73" customFormat="false" ht="44" hidden="false" customHeight="false" outlineLevel="0" collapsed="false">
      <c r="A73" s="4" t="s">
        <v>37</v>
      </c>
      <c r="B73" s="4" t="s">
        <v>57</v>
      </c>
      <c r="C73" s="4" t="s">
        <v>42</v>
      </c>
      <c r="D73" s="4" t="n">
        <v>0.2</v>
      </c>
      <c r="E73" s="4" t="n">
        <v>0</v>
      </c>
      <c r="F73" s="4" t="s">
        <v>28</v>
      </c>
      <c r="G73" s="2" t="s">
        <v>40</v>
      </c>
    </row>
    <row r="74" customFormat="false" ht="44" hidden="false" customHeight="false" outlineLevel="0" collapsed="false">
      <c r="A74" s="4" t="s">
        <v>37</v>
      </c>
      <c r="B74" s="4" t="s">
        <v>57</v>
      </c>
      <c r="C74" s="4" t="s">
        <v>43</v>
      </c>
      <c r="D74" s="4" t="n">
        <v>0.2</v>
      </c>
      <c r="E74" s="4" t="n">
        <v>0</v>
      </c>
      <c r="F74" s="4" t="s">
        <v>28</v>
      </c>
      <c r="G74" s="2" t="s">
        <v>40</v>
      </c>
    </row>
    <row r="75" customFormat="false" ht="44" hidden="false" customHeight="false" outlineLevel="0" collapsed="false">
      <c r="A75" s="4" t="s">
        <v>37</v>
      </c>
      <c r="B75" s="4" t="s">
        <v>57</v>
      </c>
      <c r="C75" s="4" t="s">
        <v>44</v>
      </c>
      <c r="D75" s="4" t="n">
        <v>0.8</v>
      </c>
      <c r="E75" s="4" t="n">
        <v>0</v>
      </c>
      <c r="F75" s="4" t="s">
        <v>28</v>
      </c>
      <c r="G75" s="2" t="s">
        <v>40</v>
      </c>
    </row>
    <row r="76" customFormat="false" ht="44" hidden="false" customHeight="false" outlineLevel="0" collapsed="false">
      <c r="A76" s="4" t="s">
        <v>37</v>
      </c>
      <c r="B76" s="4" t="s">
        <v>57</v>
      </c>
      <c r="C76" s="4" t="s">
        <v>45</v>
      </c>
      <c r="D76" s="4" t="n">
        <v>0.9</v>
      </c>
      <c r="E76" s="4" t="n">
        <v>0</v>
      </c>
      <c r="F76" s="4" t="s">
        <v>28</v>
      </c>
      <c r="G76" s="2" t="s">
        <v>40</v>
      </c>
    </row>
    <row r="77" customFormat="false" ht="44" hidden="false" customHeight="false" outlineLevel="0" collapsed="false">
      <c r="A77" s="4" t="s">
        <v>37</v>
      </c>
      <c r="B77" s="4" t="s">
        <v>58</v>
      </c>
      <c r="C77" s="4" t="s">
        <v>39</v>
      </c>
      <c r="D77" s="4" t="n">
        <v>0</v>
      </c>
      <c r="E77" s="4" t="n">
        <v>1</v>
      </c>
      <c r="F77" s="4" t="s">
        <v>28</v>
      </c>
      <c r="G77" s="2" t="s">
        <v>40</v>
      </c>
    </row>
    <row r="78" customFormat="false" ht="44" hidden="false" customHeight="false" outlineLevel="0" collapsed="false">
      <c r="A78" s="4" t="s">
        <v>37</v>
      </c>
      <c r="B78" s="4" t="s">
        <v>58</v>
      </c>
      <c r="C78" s="4" t="s">
        <v>41</v>
      </c>
      <c r="D78" s="4" t="n">
        <v>1</v>
      </c>
      <c r="E78" s="4" t="n">
        <v>0</v>
      </c>
      <c r="F78" s="4" t="s">
        <v>28</v>
      </c>
      <c r="G78" s="2" t="s">
        <v>40</v>
      </c>
    </row>
    <row r="79" customFormat="false" ht="44" hidden="false" customHeight="false" outlineLevel="0" collapsed="false">
      <c r="A79" s="4" t="s">
        <v>37</v>
      </c>
      <c r="B79" s="4" t="s">
        <v>58</v>
      </c>
      <c r="C79" s="4" t="s">
        <v>42</v>
      </c>
      <c r="D79" s="4" t="n">
        <v>0.1</v>
      </c>
      <c r="E79" s="4" t="n">
        <v>0</v>
      </c>
      <c r="F79" s="4" t="s">
        <v>28</v>
      </c>
      <c r="G79" s="2" t="s">
        <v>40</v>
      </c>
    </row>
    <row r="80" customFormat="false" ht="44" hidden="false" customHeight="false" outlineLevel="0" collapsed="false">
      <c r="A80" s="4" t="s">
        <v>37</v>
      </c>
      <c r="B80" s="4" t="s">
        <v>58</v>
      </c>
      <c r="C80" s="4" t="s">
        <v>43</v>
      </c>
      <c r="D80" s="4" t="n">
        <v>0.1</v>
      </c>
      <c r="E80" s="4" t="n">
        <v>0</v>
      </c>
      <c r="F80" s="4" t="s">
        <v>28</v>
      </c>
      <c r="G80" s="2" t="s">
        <v>40</v>
      </c>
    </row>
    <row r="81" customFormat="false" ht="44" hidden="false" customHeight="false" outlineLevel="0" collapsed="false">
      <c r="A81" s="4" t="s">
        <v>37</v>
      </c>
      <c r="B81" s="4" t="s">
        <v>58</v>
      </c>
      <c r="C81" s="4" t="s">
        <v>44</v>
      </c>
      <c r="D81" s="4" t="n">
        <v>0.2</v>
      </c>
      <c r="E81" s="4" t="n">
        <v>0</v>
      </c>
      <c r="F81" s="4" t="s">
        <v>28</v>
      </c>
      <c r="G81" s="2" t="s">
        <v>40</v>
      </c>
    </row>
    <row r="82" customFormat="false" ht="44" hidden="false" customHeight="false" outlineLevel="0" collapsed="false">
      <c r="A82" s="4" t="s">
        <v>37</v>
      </c>
      <c r="B82" s="4" t="s">
        <v>58</v>
      </c>
      <c r="C82" s="4" t="s">
        <v>45</v>
      </c>
      <c r="D82" s="4" t="n">
        <v>0.3</v>
      </c>
      <c r="E82" s="4" t="n">
        <v>0</v>
      </c>
      <c r="F82" s="4" t="s">
        <v>28</v>
      </c>
      <c r="G82" s="2" t="s">
        <v>40</v>
      </c>
    </row>
    <row r="83" customFormat="false" ht="44" hidden="false" customHeight="false" outlineLevel="0" collapsed="false">
      <c r="A83" s="4" t="s">
        <v>37</v>
      </c>
      <c r="B83" s="4" t="s">
        <v>59</v>
      </c>
      <c r="C83" s="4" t="s">
        <v>39</v>
      </c>
      <c r="D83" s="4" t="n">
        <v>0</v>
      </c>
      <c r="E83" s="4" t="n">
        <v>1</v>
      </c>
      <c r="F83" s="4" t="s">
        <v>28</v>
      </c>
      <c r="G83" s="2" t="s">
        <v>40</v>
      </c>
    </row>
    <row r="84" customFormat="false" ht="44" hidden="false" customHeight="false" outlineLevel="0" collapsed="false">
      <c r="A84" s="4" t="s">
        <v>37</v>
      </c>
      <c r="B84" s="4" t="s">
        <v>59</v>
      </c>
      <c r="C84" s="4" t="s">
        <v>41</v>
      </c>
      <c r="D84" s="4" t="n">
        <v>1</v>
      </c>
      <c r="E84" s="4" t="n">
        <v>0</v>
      </c>
      <c r="F84" s="4" t="s">
        <v>28</v>
      </c>
      <c r="G84" s="2" t="s">
        <v>40</v>
      </c>
    </row>
    <row r="85" customFormat="false" ht="44" hidden="false" customHeight="false" outlineLevel="0" collapsed="false">
      <c r="A85" s="4" t="s">
        <v>37</v>
      </c>
      <c r="B85" s="4" t="s">
        <v>59</v>
      </c>
      <c r="C85" s="4" t="s">
        <v>42</v>
      </c>
      <c r="D85" s="4" t="n">
        <v>0.5</v>
      </c>
      <c r="E85" s="4" t="n">
        <v>0</v>
      </c>
      <c r="F85" s="4" t="s">
        <v>28</v>
      </c>
      <c r="G85" s="2" t="s">
        <v>40</v>
      </c>
    </row>
    <row r="86" customFormat="false" ht="44" hidden="false" customHeight="false" outlineLevel="0" collapsed="false">
      <c r="A86" s="4" t="s">
        <v>37</v>
      </c>
      <c r="B86" s="4" t="s">
        <v>59</v>
      </c>
      <c r="C86" s="4" t="s">
        <v>43</v>
      </c>
      <c r="D86" s="4" t="n">
        <v>0.9</v>
      </c>
      <c r="E86" s="4" t="n">
        <v>0</v>
      </c>
      <c r="F86" s="4" t="s">
        <v>28</v>
      </c>
      <c r="G86" s="2" t="s">
        <v>40</v>
      </c>
    </row>
    <row r="87" customFormat="false" ht="44" hidden="false" customHeight="false" outlineLevel="0" collapsed="false">
      <c r="A87" s="4" t="s">
        <v>37</v>
      </c>
      <c r="B87" s="4" t="s">
        <v>59</v>
      </c>
      <c r="C87" s="4" t="s">
        <v>44</v>
      </c>
      <c r="D87" s="4" t="n">
        <v>0.1</v>
      </c>
      <c r="E87" s="4" t="n">
        <v>0</v>
      </c>
      <c r="F87" s="4" t="s">
        <v>28</v>
      </c>
      <c r="G87" s="2" t="s">
        <v>40</v>
      </c>
    </row>
    <row r="88" customFormat="false" ht="44" hidden="false" customHeight="false" outlineLevel="0" collapsed="false">
      <c r="A88" s="4" t="s">
        <v>37</v>
      </c>
      <c r="B88" s="4" t="s">
        <v>59</v>
      </c>
      <c r="C88" s="4" t="s">
        <v>45</v>
      </c>
      <c r="D88" s="4" t="n">
        <v>0.2</v>
      </c>
      <c r="E88" s="4" t="n">
        <v>0</v>
      </c>
      <c r="F88" s="4" t="s">
        <v>28</v>
      </c>
      <c r="G88" s="2" t="s">
        <v>40</v>
      </c>
    </row>
    <row r="89" customFormat="false" ht="44" hidden="false" customHeight="false" outlineLevel="0" collapsed="false">
      <c r="A89" s="4" t="s">
        <v>37</v>
      </c>
      <c r="B89" s="4" t="s">
        <v>60</v>
      </c>
      <c r="C89" s="4" t="s">
        <v>39</v>
      </c>
      <c r="D89" s="4" t="n">
        <v>0</v>
      </c>
      <c r="E89" s="4" t="n">
        <v>1</v>
      </c>
      <c r="F89" s="4" t="s">
        <v>28</v>
      </c>
      <c r="G89" s="2" t="s">
        <v>40</v>
      </c>
    </row>
    <row r="90" customFormat="false" ht="44" hidden="false" customHeight="false" outlineLevel="0" collapsed="false">
      <c r="A90" s="4" t="s">
        <v>37</v>
      </c>
      <c r="B90" s="4" t="s">
        <v>60</v>
      </c>
      <c r="C90" s="4" t="s">
        <v>41</v>
      </c>
      <c r="D90" s="4" t="n">
        <v>1</v>
      </c>
      <c r="E90" s="4" t="n">
        <v>0</v>
      </c>
      <c r="F90" s="4" t="s">
        <v>28</v>
      </c>
      <c r="G90" s="2" t="s">
        <v>40</v>
      </c>
    </row>
    <row r="91" customFormat="false" ht="44" hidden="false" customHeight="false" outlineLevel="0" collapsed="false">
      <c r="A91" s="4" t="s">
        <v>37</v>
      </c>
      <c r="B91" s="4" t="s">
        <v>60</v>
      </c>
      <c r="C91" s="4" t="s">
        <v>42</v>
      </c>
      <c r="D91" s="4" t="n">
        <v>0.4</v>
      </c>
      <c r="E91" s="4" t="n">
        <v>0</v>
      </c>
      <c r="F91" s="4" t="s">
        <v>28</v>
      </c>
      <c r="G91" s="2" t="s">
        <v>40</v>
      </c>
    </row>
    <row r="92" customFormat="false" ht="44" hidden="false" customHeight="false" outlineLevel="0" collapsed="false">
      <c r="A92" s="4" t="s">
        <v>37</v>
      </c>
      <c r="B92" s="4" t="s">
        <v>60</v>
      </c>
      <c r="C92" s="4" t="s">
        <v>43</v>
      </c>
      <c r="D92" s="4" t="n">
        <v>0.8</v>
      </c>
      <c r="E92" s="4" t="n">
        <v>0</v>
      </c>
      <c r="F92" s="4" t="s">
        <v>28</v>
      </c>
      <c r="G92" s="2" t="s">
        <v>40</v>
      </c>
    </row>
    <row r="93" customFormat="false" ht="44" hidden="false" customHeight="false" outlineLevel="0" collapsed="false">
      <c r="A93" s="4" t="s">
        <v>37</v>
      </c>
      <c r="B93" s="4" t="s">
        <v>60</v>
      </c>
      <c r="C93" s="4" t="s">
        <v>44</v>
      </c>
      <c r="D93" s="4" t="n">
        <v>0.1</v>
      </c>
      <c r="E93" s="4" t="n">
        <v>0</v>
      </c>
      <c r="F93" s="4" t="s">
        <v>28</v>
      </c>
      <c r="G93" s="2" t="s">
        <v>40</v>
      </c>
    </row>
    <row r="94" customFormat="false" ht="44" hidden="false" customHeight="false" outlineLevel="0" collapsed="false">
      <c r="A94" s="4" t="s">
        <v>37</v>
      </c>
      <c r="B94" s="4" t="s">
        <v>60</v>
      </c>
      <c r="C94" s="4" t="s">
        <v>45</v>
      </c>
      <c r="D94" s="4" t="n">
        <v>0.1</v>
      </c>
      <c r="E94" s="4" t="n">
        <v>0</v>
      </c>
      <c r="F94" s="4" t="s">
        <v>28</v>
      </c>
      <c r="G94" s="2" t="s">
        <v>40</v>
      </c>
    </row>
    <row r="95" customFormat="false" ht="15" hidden="false" customHeight="false" outlineLevel="0" collapsed="false">
      <c r="A95" s="4" t="s">
        <v>25</v>
      </c>
      <c r="B95" s="4" t="s">
        <v>61</v>
      </c>
      <c r="C95" s="4" t="s">
        <v>27</v>
      </c>
      <c r="D95" s="4" t="n">
        <v>300</v>
      </c>
      <c r="E95" s="4" t="n">
        <v>1</v>
      </c>
      <c r="F95" s="4" t="s">
        <v>62</v>
      </c>
      <c r="G95" s="2" t="s">
        <v>63</v>
      </c>
    </row>
    <row r="96" customFormat="false" ht="29.85" hidden="false" customHeight="false" outlineLevel="0" collapsed="false">
      <c r="A96" s="4" t="s">
        <v>25</v>
      </c>
      <c r="B96" s="4" t="s">
        <v>64</v>
      </c>
      <c r="C96" s="4" t="s">
        <v>27</v>
      </c>
      <c r="D96" s="4" t="n">
        <v>300</v>
      </c>
      <c r="E96" s="4" t="n">
        <v>10</v>
      </c>
      <c r="F96" s="4" t="s">
        <v>62</v>
      </c>
      <c r="G96" s="2" t="s">
        <v>65</v>
      </c>
    </row>
    <row r="97" customFormat="false" ht="15" hidden="false" customHeight="false" outlineLevel="0" collapsed="false">
      <c r="A97" s="4" t="s">
        <v>37</v>
      </c>
      <c r="B97" s="4" t="s">
        <v>61</v>
      </c>
      <c r="C97" s="4" t="s">
        <v>43</v>
      </c>
      <c r="D97" s="4" t="n">
        <v>0.1</v>
      </c>
      <c r="E97" s="4" t="n">
        <v>0.9</v>
      </c>
      <c r="F97" s="4" t="s">
        <v>62</v>
      </c>
      <c r="G97" s="2" t="s">
        <v>66</v>
      </c>
    </row>
    <row r="98" customFormat="false" ht="15" hidden="false" customHeight="false" outlineLevel="0" collapsed="false">
      <c r="A98" s="4" t="s">
        <v>37</v>
      </c>
      <c r="B98" s="4" t="s">
        <v>61</v>
      </c>
      <c r="C98" s="4" t="s">
        <v>42</v>
      </c>
      <c r="D98" s="4" t="n">
        <v>0.1</v>
      </c>
      <c r="E98" s="4" t="n">
        <v>0.4</v>
      </c>
      <c r="F98" s="4" t="s">
        <v>62</v>
      </c>
      <c r="G98" s="2" t="s">
        <v>66</v>
      </c>
    </row>
    <row r="99" customFormat="false" ht="15" hidden="false" customHeight="false" outlineLevel="0" collapsed="false">
      <c r="A99" s="4" t="s">
        <v>37</v>
      </c>
      <c r="B99" s="4" t="s">
        <v>67</v>
      </c>
      <c r="C99" s="4" t="s">
        <v>41</v>
      </c>
      <c r="D99" s="4" t="n">
        <v>1</v>
      </c>
      <c r="E99" s="4" t="n">
        <v>0.2</v>
      </c>
      <c r="F99" s="4" t="s">
        <v>62</v>
      </c>
      <c r="G99" s="2" t="s">
        <v>68</v>
      </c>
    </row>
    <row r="100" customFormat="false" ht="15" hidden="false" customHeight="false" outlineLevel="0" collapsed="false">
      <c r="A100" s="4" t="s">
        <v>37</v>
      </c>
      <c r="B100" s="4" t="s">
        <v>67</v>
      </c>
      <c r="C100" s="4" t="s">
        <v>43</v>
      </c>
      <c r="D100" s="4" t="n">
        <v>0.8</v>
      </c>
      <c r="E100" s="4" t="n">
        <v>0.2</v>
      </c>
      <c r="F100" s="4" t="s">
        <v>62</v>
      </c>
      <c r="G100" s="2" t="s">
        <v>68</v>
      </c>
    </row>
    <row r="101" customFormat="false" ht="15" hidden="false" customHeight="false" outlineLevel="0" collapsed="false">
      <c r="A101" s="4" t="s">
        <v>37</v>
      </c>
      <c r="B101" s="4" t="s">
        <v>67</v>
      </c>
      <c r="C101" s="4" t="s">
        <v>44</v>
      </c>
      <c r="D101" s="4" t="n">
        <v>0.1</v>
      </c>
      <c r="E101" s="4" t="n">
        <v>0.6</v>
      </c>
      <c r="F101" s="4" t="s">
        <v>62</v>
      </c>
      <c r="G101" s="2" t="s">
        <v>68</v>
      </c>
    </row>
    <row r="102" customFormat="false" ht="15" hidden="false" customHeight="false" outlineLevel="0" collapsed="false">
      <c r="A102" s="4" t="s">
        <v>37</v>
      </c>
      <c r="B102" s="4" t="s">
        <v>67</v>
      </c>
      <c r="C102" s="4" t="s">
        <v>45</v>
      </c>
      <c r="D102" s="4" t="n">
        <v>0.1</v>
      </c>
      <c r="E102" s="4" t="n">
        <v>0.9</v>
      </c>
      <c r="F102" s="4" t="s">
        <v>62</v>
      </c>
      <c r="G102" s="2" t="s">
        <v>68</v>
      </c>
    </row>
    <row r="103" customFormat="false" ht="15" hidden="false" customHeight="false" outlineLevel="0" collapsed="false">
      <c r="A103" s="4" t="s">
        <v>37</v>
      </c>
      <c r="B103" s="4" t="s">
        <v>69</v>
      </c>
      <c r="C103" s="4" t="s">
        <v>43</v>
      </c>
      <c r="D103" s="4" t="n">
        <v>0.1</v>
      </c>
      <c r="E103" s="4" t="n">
        <v>0.9</v>
      </c>
      <c r="F103" s="4" t="s">
        <v>62</v>
      </c>
      <c r="G103" s="2" t="s">
        <v>70</v>
      </c>
    </row>
    <row r="104" customFormat="false" ht="15" hidden="false" customHeight="false" outlineLevel="0" collapsed="false">
      <c r="A104" s="4" t="s">
        <v>37</v>
      </c>
      <c r="B104" s="4" t="s">
        <v>69</v>
      </c>
      <c r="C104" s="4" t="s">
        <v>42</v>
      </c>
      <c r="D104" s="4" t="n">
        <v>0.1</v>
      </c>
      <c r="E104" s="4" t="n">
        <v>0.5</v>
      </c>
      <c r="F104" s="4" t="s">
        <v>62</v>
      </c>
      <c r="G104" s="2" t="s">
        <v>70</v>
      </c>
    </row>
    <row r="105" customFormat="false" ht="15" hidden="false" customHeight="false" outlineLevel="0" collapsed="false">
      <c r="A105" s="4" t="s">
        <v>37</v>
      </c>
      <c r="B105" s="4" t="s">
        <v>64</v>
      </c>
      <c r="C105" s="4" t="s">
        <v>41</v>
      </c>
      <c r="D105" s="4" t="n">
        <v>1</v>
      </c>
      <c r="E105" s="4" t="n">
        <v>0.1</v>
      </c>
      <c r="F105" s="4" t="s">
        <v>62</v>
      </c>
      <c r="G105" s="2" t="s">
        <v>71</v>
      </c>
    </row>
    <row r="106" customFormat="false" ht="15" hidden="false" customHeight="false" outlineLevel="0" collapsed="false">
      <c r="A106" s="4" t="s">
        <v>37</v>
      </c>
      <c r="B106" s="4" t="s">
        <v>64</v>
      </c>
      <c r="C106" s="4" t="s">
        <v>43</v>
      </c>
      <c r="D106" s="4" t="n">
        <v>0.5</v>
      </c>
      <c r="E106" s="4" t="n">
        <v>0.1</v>
      </c>
      <c r="F106" s="4" t="s">
        <v>62</v>
      </c>
      <c r="G106" s="2" t="s">
        <v>71</v>
      </c>
    </row>
    <row r="107" customFormat="false" ht="15" hidden="false" customHeight="false" outlineLevel="0" collapsed="false">
      <c r="A107" s="4" t="s">
        <v>37</v>
      </c>
      <c r="B107" s="4" t="s">
        <v>72</v>
      </c>
      <c r="C107" s="4" t="s">
        <v>41</v>
      </c>
      <c r="D107" s="4" t="n">
        <v>1</v>
      </c>
      <c r="E107" s="4" t="n">
        <v>0.1</v>
      </c>
      <c r="F107" s="4" t="s">
        <v>62</v>
      </c>
      <c r="G107" s="2" t="s">
        <v>73</v>
      </c>
    </row>
    <row r="108" customFormat="false" ht="15" hidden="false" customHeight="false" outlineLevel="0" collapsed="false">
      <c r="A108" s="4" t="s">
        <v>37</v>
      </c>
      <c r="B108" s="4" t="s">
        <v>72</v>
      </c>
      <c r="C108" s="4" t="s">
        <v>44</v>
      </c>
      <c r="D108" s="4" t="n">
        <v>0.1</v>
      </c>
      <c r="E108" s="4" t="n">
        <v>0.7</v>
      </c>
      <c r="F108" s="4" t="s">
        <v>62</v>
      </c>
      <c r="G108" s="2" t="s">
        <v>73</v>
      </c>
    </row>
    <row r="109" customFormat="false" ht="15" hidden="false" customHeight="false" outlineLevel="0" collapsed="false">
      <c r="A109" s="4" t="s">
        <v>37</v>
      </c>
      <c r="B109" s="4" t="s">
        <v>72</v>
      </c>
      <c r="C109" s="4" t="s">
        <v>45</v>
      </c>
      <c r="D109" s="4" t="n">
        <v>0.1</v>
      </c>
      <c r="E109" s="4" t="n">
        <v>0.9</v>
      </c>
      <c r="F109" s="4" t="s">
        <v>62</v>
      </c>
      <c r="G109" s="2" t="s">
        <v>73</v>
      </c>
    </row>
    <row r="110" customFormat="false" ht="15" hidden="false" customHeight="false" outlineLevel="0" collapsed="false">
      <c r="A110" s="4" t="s">
        <v>37</v>
      </c>
      <c r="B110" s="4" t="s">
        <v>74</v>
      </c>
      <c r="C110" s="4" t="s">
        <v>43</v>
      </c>
      <c r="D110" s="4" t="n">
        <v>0.5</v>
      </c>
      <c r="E110" s="4" t="n">
        <v>0.9</v>
      </c>
      <c r="F110" s="4" t="s">
        <v>62</v>
      </c>
      <c r="G110" s="2" t="s">
        <v>75</v>
      </c>
    </row>
    <row r="111" customFormat="false" ht="15" hidden="false" customHeight="false" outlineLevel="0" collapsed="false">
      <c r="A111" s="4" t="s">
        <v>37</v>
      </c>
      <c r="B111" s="4" t="s">
        <v>74</v>
      </c>
      <c r="C111" s="4" t="s">
        <v>44</v>
      </c>
      <c r="D111" s="4" t="n">
        <v>0.6</v>
      </c>
      <c r="E111" s="4" t="n">
        <v>0.3</v>
      </c>
      <c r="F111" s="4" t="s">
        <v>62</v>
      </c>
      <c r="G111" s="2" t="s">
        <v>75</v>
      </c>
    </row>
    <row r="112" customFormat="false" ht="15" hidden="false" customHeight="false" outlineLevel="0" collapsed="false">
      <c r="A112" s="4" t="s">
        <v>37</v>
      </c>
      <c r="B112" s="4" t="s">
        <v>74</v>
      </c>
      <c r="C112" s="4" t="s">
        <v>45</v>
      </c>
      <c r="D112" s="4" t="n">
        <v>0.7</v>
      </c>
      <c r="E112" s="4" t="n">
        <v>0.3</v>
      </c>
      <c r="F112" s="4" t="s">
        <v>62</v>
      </c>
      <c r="G112" s="2" t="s">
        <v>75</v>
      </c>
    </row>
    <row r="113" customFormat="false" ht="15" hidden="false" customHeight="false" outlineLevel="0" collapsed="false">
      <c r="A113" s="4" t="s">
        <v>37</v>
      </c>
      <c r="B113" s="4" t="s">
        <v>76</v>
      </c>
      <c r="C113" s="4" t="s">
        <v>41</v>
      </c>
      <c r="D113" s="4" t="n">
        <v>1</v>
      </c>
      <c r="E113" s="4" t="n">
        <v>0.1</v>
      </c>
      <c r="F113" s="4" t="s">
        <v>62</v>
      </c>
      <c r="G113" s="2" t="s">
        <v>77</v>
      </c>
    </row>
    <row r="114" customFormat="false" ht="15" hidden="false" customHeight="false" outlineLevel="0" collapsed="false">
      <c r="A114" s="4" t="s">
        <v>37</v>
      </c>
      <c r="B114" s="4" t="s">
        <v>76</v>
      </c>
      <c r="C114" s="4" t="s">
        <v>44</v>
      </c>
      <c r="D114" s="4" t="n">
        <v>0.5</v>
      </c>
      <c r="E114" s="4" t="n">
        <v>0.9</v>
      </c>
      <c r="F114" s="4" t="s">
        <v>62</v>
      </c>
      <c r="G114" s="2" t="s">
        <v>77</v>
      </c>
    </row>
    <row r="115" customFormat="false" ht="15" hidden="false" customHeight="false" outlineLevel="0" collapsed="false">
      <c r="A115" s="4" t="s">
        <v>37</v>
      </c>
      <c r="B115" s="4" t="s">
        <v>78</v>
      </c>
      <c r="C115" s="4" t="s">
        <v>41</v>
      </c>
      <c r="D115" s="4" t="n">
        <v>1</v>
      </c>
      <c r="E115" s="4" t="n">
        <v>0.1</v>
      </c>
      <c r="F115" s="4" t="s">
        <v>62</v>
      </c>
      <c r="G115" s="2" t="s">
        <v>79</v>
      </c>
    </row>
    <row r="116" customFormat="false" ht="15" hidden="false" customHeight="false" outlineLevel="0" collapsed="false">
      <c r="A116" s="4" t="s">
        <v>37</v>
      </c>
      <c r="B116" s="4" t="s">
        <v>78</v>
      </c>
      <c r="C116" s="4" t="s">
        <v>43</v>
      </c>
      <c r="D116" s="4" t="n">
        <v>0.6</v>
      </c>
      <c r="E116" s="4" t="n">
        <v>0.1</v>
      </c>
      <c r="F116" s="4" t="s">
        <v>62</v>
      </c>
      <c r="G116" s="2" t="s">
        <v>79</v>
      </c>
    </row>
    <row r="117" customFormat="false" ht="15" hidden="false" customHeight="false" outlineLevel="0" collapsed="false">
      <c r="A117" s="4" t="s">
        <v>37</v>
      </c>
      <c r="B117" s="4" t="s">
        <v>80</v>
      </c>
      <c r="C117" s="4" t="s">
        <v>41</v>
      </c>
      <c r="D117" s="4" t="n">
        <v>1</v>
      </c>
      <c r="E117" s="4" t="n">
        <v>0.5</v>
      </c>
      <c r="F117" s="4" t="s">
        <v>81</v>
      </c>
      <c r="G117" s="2" t="s">
        <v>82</v>
      </c>
    </row>
    <row r="118" customFormat="false" ht="15" hidden="false" customHeight="false" outlineLevel="0" collapsed="false">
      <c r="A118" s="4" t="s">
        <v>37</v>
      </c>
      <c r="B118" s="4" t="s">
        <v>83</v>
      </c>
      <c r="C118" s="4" t="s">
        <v>41</v>
      </c>
      <c r="D118" s="4" t="n">
        <v>1</v>
      </c>
      <c r="E118" s="4" t="n">
        <v>0.3</v>
      </c>
      <c r="F118" s="4" t="s">
        <v>81</v>
      </c>
      <c r="G118" s="2" t="s">
        <v>84</v>
      </c>
    </row>
    <row r="119" customFormat="false" ht="15" hidden="false" customHeight="false" outlineLevel="0" collapsed="false">
      <c r="A119" s="4" t="s">
        <v>37</v>
      </c>
      <c r="B119" s="4" t="s">
        <v>85</v>
      </c>
      <c r="C119" s="4" t="s">
        <v>41</v>
      </c>
      <c r="D119" s="4" t="n">
        <v>1</v>
      </c>
      <c r="E119" s="4" t="n">
        <v>0.5</v>
      </c>
      <c r="F119" s="4" t="s">
        <v>81</v>
      </c>
      <c r="G119" s="2" t="s">
        <v>86</v>
      </c>
    </row>
    <row r="120" customFormat="false" ht="15" hidden="false" customHeight="false" outlineLevel="0" collapsed="false">
      <c r="A120" s="4" t="s">
        <v>37</v>
      </c>
      <c r="B120" s="4" t="s">
        <v>87</v>
      </c>
      <c r="C120" s="4" t="s">
        <v>41</v>
      </c>
      <c r="D120" s="4" t="n">
        <v>1</v>
      </c>
      <c r="E120" s="4" t="n">
        <v>0.6</v>
      </c>
      <c r="F120" s="4" t="s">
        <v>81</v>
      </c>
      <c r="G120" s="2" t="s">
        <v>88</v>
      </c>
    </row>
    <row r="121" customFormat="false" ht="15" hidden="false" customHeight="false" outlineLevel="0" collapsed="false">
      <c r="A121" s="4" t="s">
        <v>37</v>
      </c>
      <c r="B121" s="4" t="s">
        <v>89</v>
      </c>
      <c r="C121" s="4" t="s">
        <v>41</v>
      </c>
      <c r="D121" s="4" t="n">
        <v>1</v>
      </c>
      <c r="E121" s="4" t="n">
        <v>0.3</v>
      </c>
      <c r="F121" s="4" t="s">
        <v>81</v>
      </c>
      <c r="G121" s="2" t="s">
        <v>90</v>
      </c>
    </row>
    <row r="122" customFormat="false" ht="29.85" hidden="false" customHeight="false" outlineLevel="0" collapsed="false">
      <c r="A122" s="4" t="s">
        <v>37</v>
      </c>
      <c r="B122" s="4" t="s">
        <v>36</v>
      </c>
      <c r="C122" s="4" t="s">
        <v>41</v>
      </c>
      <c r="D122" s="4" t="n">
        <v>1</v>
      </c>
      <c r="E122" s="4" t="n">
        <v>0.6</v>
      </c>
      <c r="F122" s="4" t="s">
        <v>81</v>
      </c>
      <c r="G122" s="2" t="s">
        <v>91</v>
      </c>
    </row>
    <row r="123" customFormat="false" ht="29.85" hidden="false" customHeight="false" outlineLevel="0" collapsed="false">
      <c r="A123" s="4" t="s">
        <v>37</v>
      </c>
      <c r="B123" s="4" t="s">
        <v>36</v>
      </c>
      <c r="C123" s="4" t="s">
        <v>44</v>
      </c>
      <c r="D123" s="4" t="n">
        <v>0.2</v>
      </c>
      <c r="E123" s="4" t="n">
        <v>0.5</v>
      </c>
      <c r="F123" s="4" t="s">
        <v>81</v>
      </c>
      <c r="G123" s="2" t="s">
        <v>91</v>
      </c>
    </row>
    <row r="124" customFormat="false" ht="29.85" hidden="false" customHeight="false" outlineLevel="0" collapsed="false">
      <c r="A124" s="4" t="s">
        <v>37</v>
      </c>
      <c r="B124" s="4" t="s">
        <v>36</v>
      </c>
      <c r="C124" s="4" t="s">
        <v>45</v>
      </c>
      <c r="D124" s="4" t="n">
        <v>0.4</v>
      </c>
      <c r="E124" s="4" t="n">
        <v>0.6</v>
      </c>
      <c r="F124" s="4" t="s">
        <v>81</v>
      </c>
      <c r="G124" s="2" t="s">
        <v>91</v>
      </c>
    </row>
  </sheetData>
  <autoFilter ref="A1:G1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 min="1" style="0" width="28"/>
    <col collapsed="false" customWidth="true" hidden="false" outlineLevel="0" max="3" min="2" style="0" width="18"/>
    <col collapsed="false" customWidth="true" hidden="false" outlineLevel="0" max="4" min="4" style="0" width="14"/>
    <col collapsed="false" customWidth="true" hidden="false" outlineLevel="0" max="5" min="5" style="0" width="24"/>
  </cols>
  <sheetData>
    <row r="1" customFormat="false" ht="29.85" hidden="false" customHeight="false" outlineLevel="0" collapsed="false">
      <c r="A1" s="3" t="s">
        <v>19</v>
      </c>
      <c r="B1" s="3" t="s">
        <v>92</v>
      </c>
      <c r="C1" s="3" t="s">
        <v>93</v>
      </c>
      <c r="D1" s="3" t="s">
        <v>94</v>
      </c>
      <c r="E1" s="3" t="s">
        <v>95</v>
      </c>
    </row>
    <row r="2" customFormat="false" ht="15" hidden="false" customHeight="false" outlineLevel="0" collapsed="false">
      <c r="A2" s="5" t="s">
        <v>96</v>
      </c>
      <c r="B2" s="6" t="n">
        <v>0.0062049652</v>
      </c>
      <c r="C2" s="6" t="n">
        <v>1.67158676E-005</v>
      </c>
      <c r="D2" s="7" t="n">
        <f aca="false">IF(B2=0,"",C2/B2)</f>
        <v>0.00269395025777099</v>
      </c>
      <c r="E2" s="5" t="str">
        <f aca="false">IF(D2="","",IF(D2&lt;0.5,"Declines more than 50%",IF(D2&lt;0.8,"Declines 20-50%",IF(D2&lt;=1.25,"Stable (within 25%)",IF(D2&lt;=2,"Rises 25-100%","Rises more than 2x")))))</f>
        <v>Declines more than 50%</v>
      </c>
    </row>
    <row r="3" customFormat="false" ht="15" hidden="false" customHeight="false" outlineLevel="0" collapsed="false">
      <c r="A3" s="5" t="s">
        <v>30</v>
      </c>
      <c r="B3" s="6" t="n">
        <v>0.0002648816</v>
      </c>
      <c r="C3" s="6" t="n">
        <v>2.7056254E-006</v>
      </c>
      <c r="D3" s="7" t="n">
        <f aca="false">IF(B3=0,"",C3/B3)</f>
        <v>0.0102144709183273</v>
      </c>
      <c r="E3" s="5" t="str">
        <f aca="false">IF(D3="","",IF(D3&lt;0.5,"Declines more than 50%",IF(D3&lt;0.8,"Declines 20-50%",IF(D3&lt;=1.25,"Stable (within 25%)",IF(D3&lt;=2,"Rises 25-100%","Rises more than 2x")))))</f>
        <v>Declines more than 50%</v>
      </c>
    </row>
    <row r="4" customFormat="false" ht="15" hidden="false" customHeight="false" outlineLevel="0" collapsed="false">
      <c r="A4" s="5" t="s">
        <v>26</v>
      </c>
      <c r="B4" s="6" t="n">
        <v>4.4507982E-006</v>
      </c>
      <c r="C4" s="6" t="n">
        <v>5.6806152E-008</v>
      </c>
      <c r="D4" s="7" t="n">
        <f aca="false">IF(B4=0,"",C4/B4)</f>
        <v>0.0127631380816142</v>
      </c>
      <c r="E4" s="5" t="str">
        <f aca="false">IF(D4="","",IF(D4&lt;0.5,"Declines more than 50%",IF(D4&lt;0.8,"Declines 20-50%",IF(D4&lt;=1.25,"Stable (within 25%)",IF(D4&lt;=2,"Rises 25-100%","Rises more than 2x")))))</f>
        <v>Declines more than 50%</v>
      </c>
    </row>
    <row r="5" customFormat="false" ht="15" hidden="false" customHeight="false" outlineLevel="0" collapsed="false">
      <c r="A5" s="5" t="s">
        <v>97</v>
      </c>
      <c r="B5" s="6" t="n">
        <v>0.0055437094</v>
      </c>
      <c r="C5" s="6" t="n">
        <v>0.000137145322</v>
      </c>
      <c r="D5" s="7" t="n">
        <f aca="false">IF(B5=0,"",C5/B5)</f>
        <v>0.02473890893343</v>
      </c>
      <c r="E5" s="5" t="str">
        <f aca="false">IF(D5="","",IF(D5&lt;0.5,"Declines more than 50%",IF(D5&lt;0.8,"Declines 20-50%",IF(D5&lt;=1.25,"Stable (within 25%)",IF(D5&lt;=2,"Rises 25-100%","Rises more than 2x")))))</f>
        <v>Declines more than 50%</v>
      </c>
    </row>
    <row r="6" customFormat="false" ht="15" hidden="false" customHeight="false" outlineLevel="0" collapsed="false">
      <c r="A6" s="5" t="s">
        <v>53</v>
      </c>
      <c r="B6" s="6" t="n">
        <v>0.125640696</v>
      </c>
      <c r="C6" s="6" t="n">
        <v>0.0064942888</v>
      </c>
      <c r="D6" s="7" t="n">
        <f aca="false">IF(B6=0,"",C6/B6)</f>
        <v>0.0516893730037917</v>
      </c>
      <c r="E6" s="5" t="str">
        <f aca="false">IF(D6="","",IF(D6&lt;0.5,"Declines more than 50%",IF(D6&lt;0.8,"Declines 20-50%",IF(D6&lt;=1.25,"Stable (within 25%)",IF(D6&lt;=2,"Rises 25-100%","Rises more than 2x")))))</f>
        <v>Declines more than 50%</v>
      </c>
    </row>
    <row r="7" customFormat="false" ht="15" hidden="false" customHeight="false" outlineLevel="0" collapsed="false">
      <c r="A7" s="5" t="s">
        <v>89</v>
      </c>
      <c r="B7" s="6" t="n">
        <v>0.094807696</v>
      </c>
      <c r="C7" s="6" t="n">
        <v>0.013770604</v>
      </c>
      <c r="D7" s="7" t="n">
        <f aca="false">IF(B7=0,"",C7/B7)</f>
        <v>0.145247744444713</v>
      </c>
      <c r="E7" s="5" t="str">
        <f aca="false">IF(D7="","",IF(D7&lt;0.5,"Declines more than 50%",IF(D7&lt;0.8,"Declines 20-50%",IF(D7&lt;=1.25,"Stable (within 25%)",IF(D7&lt;=2,"Rises 25-100%","Rises more than 2x")))))</f>
        <v>Declines more than 50%</v>
      </c>
    </row>
    <row r="8" customFormat="false" ht="15" hidden="false" customHeight="false" outlineLevel="0" collapsed="false">
      <c r="A8" s="5" t="s">
        <v>98</v>
      </c>
      <c r="B8" s="6" t="n">
        <v>0.2845198</v>
      </c>
      <c r="C8" s="6" t="n">
        <v>0.04472968</v>
      </c>
      <c r="D8" s="7" t="n">
        <f aca="false">IF(B8=0,"",C8/B8)</f>
        <v>0.157211132581986</v>
      </c>
      <c r="E8" s="5" t="str">
        <f aca="false">IF(D8="","",IF(D8&lt;0.5,"Declines more than 50%",IF(D8&lt;0.8,"Declines 20-50%",IF(D8&lt;=1.25,"Stable (within 25%)",IF(D8&lt;=2,"Rises 25-100%","Rises more than 2x")))))</f>
        <v>Declines more than 50%</v>
      </c>
    </row>
    <row r="9" customFormat="false" ht="15" hidden="false" customHeight="false" outlineLevel="0" collapsed="false">
      <c r="A9" s="5" t="s">
        <v>99</v>
      </c>
      <c r="B9" s="6" t="n">
        <v>0.014643906</v>
      </c>
      <c r="C9" s="6" t="n">
        <v>0.0030460202</v>
      </c>
      <c r="D9" s="7" t="n">
        <f aca="false">IF(B9=0,"",C9/B9)</f>
        <v>0.208005992390282</v>
      </c>
      <c r="E9" s="5" t="str">
        <f aca="false">IF(D9="","",IF(D9&lt;0.5,"Declines more than 50%",IF(D9&lt;0.8,"Declines 20-50%",IF(D9&lt;=1.25,"Stable (within 25%)",IF(D9&lt;=2,"Rises 25-100%","Rises more than 2x")))))</f>
        <v>Declines more than 50%</v>
      </c>
    </row>
    <row r="10" customFormat="false" ht="15" hidden="false" customHeight="false" outlineLevel="0" collapsed="false">
      <c r="A10" s="5" t="s">
        <v>34</v>
      </c>
      <c r="B10" s="6" t="n">
        <v>2.6828652E-005</v>
      </c>
      <c r="C10" s="6" t="n">
        <v>6.227468E-006</v>
      </c>
      <c r="D10" s="7" t="n">
        <f aca="false">IF(B10=0,"",C10/B10)</f>
        <v>0.232120048372166</v>
      </c>
      <c r="E10" s="5" t="str">
        <f aca="false">IF(D10="","",IF(D10&lt;0.5,"Declines more than 50%",IF(D10&lt;0.8,"Declines 20-50%",IF(D10&lt;=1.25,"Stable (within 25%)",IF(D10&lt;=2,"Rises 25-100%","Rises more than 2x")))))</f>
        <v>Declines more than 50%</v>
      </c>
    </row>
    <row r="11" customFormat="false" ht="15" hidden="false" customHeight="false" outlineLevel="0" collapsed="false">
      <c r="A11" s="5" t="s">
        <v>35</v>
      </c>
      <c r="B11" s="6" t="n">
        <v>0.00099710792</v>
      </c>
      <c r="C11" s="6" t="n">
        <v>0.00025346432</v>
      </c>
      <c r="D11" s="7" t="n">
        <f aca="false">IF(B11=0,"",C11/B11)</f>
        <v>0.254199485247294</v>
      </c>
      <c r="E11" s="5" t="str">
        <f aca="false">IF(D11="","",IF(D11&lt;0.5,"Declines more than 50%",IF(D11&lt;0.8,"Declines 20-50%",IF(D11&lt;=1.25,"Stable (within 25%)",IF(D11&lt;=2,"Rises 25-100%","Rises more than 2x")))))</f>
        <v>Declines more than 50%</v>
      </c>
    </row>
    <row r="12" customFormat="false" ht="15" hidden="false" customHeight="false" outlineLevel="0" collapsed="false">
      <c r="A12" s="5" t="s">
        <v>100</v>
      </c>
      <c r="B12" s="6" t="n">
        <v>0.066690394</v>
      </c>
      <c r="C12" s="6" t="n">
        <v>0.023495594</v>
      </c>
      <c r="D12" s="7" t="n">
        <f aca="false">IF(B12=0,"",C12/B12)</f>
        <v>0.352308519874691</v>
      </c>
      <c r="E12" s="5" t="str">
        <f aca="false">IF(D12="","",IF(D12&lt;0.5,"Declines more than 50%",IF(D12&lt;0.8,"Declines 20-50%",IF(D12&lt;=1.25,"Stable (within 25%)",IF(D12&lt;=2,"Rises 25-100%","Rises more than 2x")))))</f>
        <v>Declines more than 50%</v>
      </c>
    </row>
    <row r="13" customFormat="false" ht="15" hidden="false" customHeight="false" outlineLevel="0" collapsed="false">
      <c r="A13" s="5" t="s">
        <v>101</v>
      </c>
      <c r="B13" s="6" t="n">
        <v>1.141348</v>
      </c>
      <c r="C13" s="6" t="n">
        <v>0.4215535</v>
      </c>
      <c r="D13" s="7" t="n">
        <f aca="false">IF(B13=0,"",C13/B13)</f>
        <v>0.369347035260061</v>
      </c>
      <c r="E13" s="5" t="str">
        <f aca="false">IF(D13="","",IF(D13&lt;0.5,"Declines more than 50%",IF(D13&lt;0.8,"Declines 20-50%",IF(D13&lt;=1.25,"Stable (within 25%)",IF(D13&lt;=2,"Rises 25-100%","Rises more than 2x")))))</f>
        <v>Declines more than 50%</v>
      </c>
    </row>
    <row r="14" customFormat="false" ht="15" hidden="false" customHeight="false" outlineLevel="0" collapsed="false">
      <c r="A14" s="5" t="s">
        <v>102</v>
      </c>
      <c r="B14" s="6" t="n">
        <v>0.016157856</v>
      </c>
      <c r="C14" s="6" t="n">
        <v>0.0064669838</v>
      </c>
      <c r="D14" s="7" t="n">
        <f aca="false">IF(B14=0,"",C14/B14)</f>
        <v>0.400237741938039</v>
      </c>
      <c r="E14" s="5" t="str">
        <f aca="false">IF(D14="","",IF(D14&lt;0.5,"Declines more than 50%",IF(D14&lt;0.8,"Declines 20-50%",IF(D14&lt;=1.25,"Stable (within 25%)",IF(D14&lt;=2,"Rises 25-100%","Rises more than 2x")))))</f>
        <v>Declines more than 50%</v>
      </c>
    </row>
    <row r="15" customFormat="false" ht="15" hidden="false" customHeight="false" outlineLevel="0" collapsed="false">
      <c r="A15" s="5" t="s">
        <v>103</v>
      </c>
      <c r="B15" s="6" t="n">
        <v>0.0097605582</v>
      </c>
      <c r="C15" s="6" t="n">
        <v>0.0040948562</v>
      </c>
      <c r="D15" s="7" t="n">
        <f aca="false">IF(B15=0,"",C15/B15)</f>
        <v>0.419530944449468</v>
      </c>
      <c r="E15" s="5" t="str">
        <f aca="false">IF(D15="","",IF(D15&lt;0.5,"Declines more than 50%",IF(D15&lt;0.8,"Declines 20-50%",IF(D15&lt;=1.25,"Stable (within 25%)",IF(D15&lt;=2,"Rises 25-100%","Rises more than 2x")))))</f>
        <v>Declines more than 50%</v>
      </c>
    </row>
    <row r="16" customFormat="false" ht="15" hidden="false" customHeight="false" outlineLevel="0" collapsed="false">
      <c r="A16" s="5" t="s">
        <v>36</v>
      </c>
      <c r="B16" s="6" t="n">
        <v>0.0048721158</v>
      </c>
      <c r="C16" s="6" t="n">
        <v>0.0020956452</v>
      </c>
      <c r="D16" s="7" t="n">
        <f aca="false">IF(B16=0,"",C16/B16)</f>
        <v>0.43013041685093</v>
      </c>
      <c r="E16" s="5" t="str">
        <f aca="false">IF(D16="","",IF(D16&lt;0.5,"Declines more than 50%",IF(D16&lt;0.8,"Declines 20-50%",IF(D16&lt;=1.25,"Stable (within 25%)",IF(D16&lt;=2,"Rises 25-100%","Rises more than 2x")))))</f>
        <v>Declines more than 50%</v>
      </c>
    </row>
    <row r="17" customFormat="false" ht="15" hidden="false" customHeight="false" outlineLevel="0" collapsed="false">
      <c r="A17" s="5" t="s">
        <v>104</v>
      </c>
      <c r="B17" s="6" t="n">
        <v>0.094353998</v>
      </c>
      <c r="C17" s="6" t="n">
        <v>0.041721098</v>
      </c>
      <c r="D17" s="7" t="n">
        <f aca="false">IF(B17=0,"",C17/B17)</f>
        <v>0.442176260512035</v>
      </c>
      <c r="E17" s="5" t="str">
        <f aca="false">IF(D17="","",IF(D17&lt;0.5,"Declines more than 50%",IF(D17&lt;0.8,"Declines 20-50%",IF(D17&lt;=1.25,"Stable (within 25%)",IF(D17&lt;=2,"Rises 25-100%","Rises more than 2x")))))</f>
        <v>Declines more than 50%</v>
      </c>
    </row>
    <row r="18" customFormat="false" ht="15" hidden="false" customHeight="false" outlineLevel="0" collapsed="false">
      <c r="A18" s="5" t="s">
        <v>105</v>
      </c>
      <c r="B18" s="6" t="n">
        <v>0.39957768</v>
      </c>
      <c r="C18" s="6" t="n">
        <v>0.21150068</v>
      </c>
      <c r="D18" s="7" t="n">
        <f aca="false">IF(B18=0,"",C18/B18)</f>
        <v>0.529310546074546</v>
      </c>
      <c r="E18" s="5" t="str">
        <f aca="false">IF(D18="","",IF(D18&lt;0.5,"Declines more than 50%",IF(D18&lt;0.8,"Declines 20-50%",IF(D18&lt;=1.25,"Stable (within 25%)",IF(D18&lt;=2,"Rises 25-100%","Rises more than 2x")))))</f>
        <v>Declines 20-50%</v>
      </c>
    </row>
    <row r="19" customFormat="false" ht="15" hidden="false" customHeight="false" outlineLevel="0" collapsed="false">
      <c r="A19" s="5" t="s">
        <v>59</v>
      </c>
      <c r="B19" s="6" t="n">
        <v>0.2530369</v>
      </c>
      <c r="C19" s="6" t="n">
        <v>0.1355574</v>
      </c>
      <c r="D19" s="7" t="n">
        <f aca="false">IF(B19=0,"",C19/B19)</f>
        <v>0.535721865071853</v>
      </c>
      <c r="E19" s="5" t="str">
        <f aca="false">IF(D19="","",IF(D19&lt;0.5,"Declines more than 50%",IF(D19&lt;0.8,"Declines 20-50%",IF(D19&lt;=1.25,"Stable (within 25%)",IF(D19&lt;=2,"Rises 25-100%","Rises more than 2x")))))</f>
        <v>Declines 20-50%</v>
      </c>
    </row>
    <row r="20" customFormat="false" ht="15" hidden="false" customHeight="false" outlineLevel="0" collapsed="false">
      <c r="A20" s="5" t="s">
        <v>106</v>
      </c>
      <c r="B20" s="6" t="n">
        <v>2.1172222</v>
      </c>
      <c r="C20" s="6" t="n">
        <v>1.1925738</v>
      </c>
      <c r="D20" s="7" t="n">
        <f aca="false">IF(B20=0,"",C20/B20)</f>
        <v>0.56327285818182</v>
      </c>
      <c r="E20" s="5" t="str">
        <f aca="false">IF(D20="","",IF(D20&lt;0.5,"Declines more than 50%",IF(D20&lt;0.8,"Declines 20-50%",IF(D20&lt;=1.25,"Stable (within 25%)",IF(D20&lt;=2,"Rises 25-100%","Rises more than 2x")))))</f>
        <v>Declines 20-50%</v>
      </c>
    </row>
    <row r="21" customFormat="false" ht="15" hidden="false" customHeight="false" outlineLevel="0" collapsed="false">
      <c r="A21" s="5" t="s">
        <v>83</v>
      </c>
      <c r="B21" s="6" t="n">
        <v>0.89660518</v>
      </c>
      <c r="C21" s="6" t="n">
        <v>0.55228612</v>
      </c>
      <c r="D21" s="7" t="n">
        <f aca="false">IF(B21=0,"",C21/B21)</f>
        <v>0.615974714756834</v>
      </c>
      <c r="E21" s="5" t="str">
        <f aca="false">IF(D21="","",IF(D21&lt;0.5,"Declines more than 50%",IF(D21&lt;0.8,"Declines 20-50%",IF(D21&lt;=1.25,"Stable (within 25%)",IF(D21&lt;=2,"Rises 25-100%","Rises more than 2x")))))</f>
        <v>Declines 20-50%</v>
      </c>
    </row>
    <row r="22" customFormat="false" ht="15" hidden="false" customHeight="false" outlineLevel="0" collapsed="false">
      <c r="A22" s="5" t="s">
        <v>107</v>
      </c>
      <c r="B22" s="6" t="n">
        <v>0.36090904</v>
      </c>
      <c r="C22" s="6" t="n">
        <v>0.26093904</v>
      </c>
      <c r="D22" s="7" t="n">
        <f aca="false">IF(B22=0,"",C22/B22)</f>
        <v>0.723004998711033</v>
      </c>
      <c r="E22" s="5" t="str">
        <f aca="false">IF(D22="","",IF(D22&lt;0.5,"Declines more than 50%",IF(D22&lt;0.8,"Declines 20-50%",IF(D22&lt;=1.25,"Stable (within 25%)",IF(D22&lt;=2,"Rises 25-100%","Rises more than 2x")))))</f>
        <v>Declines 20-50%</v>
      </c>
    </row>
    <row r="23" customFormat="false" ht="15" hidden="false" customHeight="false" outlineLevel="0" collapsed="false">
      <c r="A23" s="5" t="s">
        <v>108</v>
      </c>
      <c r="B23" s="6" t="n">
        <v>0.1739639</v>
      </c>
      <c r="C23" s="6" t="n">
        <v>0.12831472</v>
      </c>
      <c r="D23" s="7" t="n">
        <f aca="false">IF(B23=0,"",C23/B23)</f>
        <v>0.737593949089437</v>
      </c>
      <c r="E23" s="5" t="str">
        <f aca="false">IF(D23="","",IF(D23&lt;0.5,"Declines more than 50%",IF(D23&lt;0.8,"Declines 20-50%",IF(D23&lt;=1.25,"Stable (within 25%)",IF(D23&lt;=2,"Rises 25-100%","Rises more than 2x")))))</f>
        <v>Declines 20-50%</v>
      </c>
    </row>
    <row r="24" customFormat="false" ht="15" hidden="false" customHeight="false" outlineLevel="0" collapsed="false">
      <c r="A24" s="5" t="s">
        <v>109</v>
      </c>
      <c r="B24" s="6" t="n">
        <v>0.50388306</v>
      </c>
      <c r="C24" s="6" t="n">
        <v>0.3749056</v>
      </c>
      <c r="D24" s="7" t="n">
        <f aca="false">IF(B24=0,"",C24/B24)</f>
        <v>0.744032950819978</v>
      </c>
      <c r="E24" s="5" t="str">
        <f aca="false">IF(D24="","",IF(D24&lt;0.5,"Declines more than 50%",IF(D24&lt;0.8,"Declines 20-50%",IF(D24&lt;=1.25,"Stable (within 25%)",IF(D24&lt;=2,"Rises 25-100%","Rises more than 2x")))))</f>
        <v>Declines 20-50%</v>
      </c>
    </row>
    <row r="25" customFormat="false" ht="15" hidden="false" customHeight="false" outlineLevel="0" collapsed="false">
      <c r="A25" s="5" t="s">
        <v>48</v>
      </c>
      <c r="B25" s="6" t="n">
        <v>0.00081088302</v>
      </c>
      <c r="C25" s="6" t="n">
        <v>0.00060483124</v>
      </c>
      <c r="D25" s="7" t="n">
        <f aca="false">IF(B25=0,"",C25/B25)</f>
        <v>0.745892101674543</v>
      </c>
      <c r="E25" s="5" t="str">
        <f aca="false">IF(D25="","",IF(D25&lt;0.5,"Declines more than 50%",IF(D25&lt;0.8,"Declines 20-50%",IF(D25&lt;=1.25,"Stable (within 25%)",IF(D25&lt;=2,"Rises 25-100%","Rises more than 2x")))))</f>
        <v>Declines 20-50%</v>
      </c>
    </row>
    <row r="26" customFormat="false" ht="15" hidden="false" customHeight="false" outlineLevel="0" collapsed="false">
      <c r="A26" s="5" t="s">
        <v>110</v>
      </c>
      <c r="B26" s="6" t="n">
        <v>0.21697432</v>
      </c>
      <c r="C26" s="6" t="n">
        <v>0.19303558</v>
      </c>
      <c r="D26" s="7" t="n">
        <f aca="false">IF(B26=0,"",C26/B26)</f>
        <v>0.889670169262427</v>
      </c>
      <c r="E26" s="5" t="str">
        <f aca="false">IF(D26="","",IF(D26&lt;0.5,"Declines more than 50%",IF(D26&lt;0.8,"Declines 20-50%",IF(D26&lt;=1.25,"Stable (within 25%)",IF(D26&lt;=2,"Rises 25-100%","Rises more than 2x")))))</f>
        <v>Stable (within 25%)</v>
      </c>
    </row>
    <row r="27" customFormat="false" ht="15" hidden="false" customHeight="false" outlineLevel="0" collapsed="false">
      <c r="A27" s="5" t="s">
        <v>111</v>
      </c>
      <c r="B27" s="6" t="n">
        <v>0.9045324</v>
      </c>
      <c r="C27" s="6" t="n">
        <v>0.81369612</v>
      </c>
      <c r="D27" s="7" t="n">
        <f aca="false">IF(B27=0,"",C27/B27)</f>
        <v>0.899576532581917</v>
      </c>
      <c r="E27" s="5" t="str">
        <f aca="false">IF(D27="","",IF(D27&lt;0.5,"Declines more than 50%",IF(D27&lt;0.8,"Declines 20-50%",IF(D27&lt;=1.25,"Stable (within 25%)",IF(D27&lt;=2,"Rises 25-100%","Rises more than 2x")))))</f>
        <v>Stable (within 25%)</v>
      </c>
    </row>
    <row r="28" customFormat="false" ht="15" hidden="false" customHeight="false" outlineLevel="0" collapsed="false">
      <c r="A28" s="5" t="s">
        <v>74</v>
      </c>
      <c r="B28" s="6" t="n">
        <v>17.087318</v>
      </c>
      <c r="C28" s="6" t="n">
        <v>16.681048</v>
      </c>
      <c r="D28" s="7" t="n">
        <f aca="false">IF(B28=0,"",C28/B28)</f>
        <v>0.976223887212727</v>
      </c>
      <c r="E28" s="5" t="str">
        <f aca="false">IF(D28="","",IF(D28&lt;0.5,"Declines more than 50%",IF(D28&lt;0.8,"Declines 20-50%",IF(D28&lt;=1.25,"Stable (within 25%)",IF(D28&lt;=2,"Rises 25-100%","Rises more than 2x")))))</f>
        <v>Stable (within 25%)</v>
      </c>
    </row>
    <row r="29" customFormat="false" ht="15" hidden="false" customHeight="false" outlineLevel="0" collapsed="false">
      <c r="A29" s="5" t="s">
        <v>32</v>
      </c>
      <c r="B29" s="6" t="n">
        <v>0.016167236</v>
      </c>
      <c r="C29" s="6" t="n">
        <v>0.015819322</v>
      </c>
      <c r="D29" s="7" t="n">
        <f aca="false">IF(B29=0,"",C29/B29)</f>
        <v>0.978480304240007</v>
      </c>
      <c r="E29" s="5" t="str">
        <f aca="false">IF(D29="","",IF(D29&lt;0.5,"Declines more than 50%",IF(D29&lt;0.8,"Declines 20-50%",IF(D29&lt;=1.25,"Stable (within 25%)",IF(D29&lt;=2,"Rises 25-100%","Rises more than 2x")))))</f>
        <v>Stable (within 25%)</v>
      </c>
    </row>
    <row r="30" customFormat="false" ht="15" hidden="false" customHeight="false" outlineLevel="0" collapsed="false">
      <c r="A30" s="5" t="s">
        <v>112</v>
      </c>
      <c r="B30" s="6" t="n">
        <v>16.819962</v>
      </c>
      <c r="C30" s="6" t="n">
        <v>16.556226</v>
      </c>
      <c r="D30" s="7" t="n">
        <f aca="false">IF(B30=0,"",C30/B30)</f>
        <v>0.984320059700492</v>
      </c>
      <c r="E30" s="5" t="str">
        <f aca="false">IF(D30="","",IF(D30&lt;0.5,"Declines more than 50%",IF(D30&lt;0.8,"Declines 20-50%",IF(D30&lt;=1.25,"Stable (within 25%)",IF(D30&lt;=2,"Rises 25-100%","Rises more than 2x")))))</f>
        <v>Stable (within 25%)</v>
      </c>
    </row>
    <row r="31" customFormat="false" ht="15" hidden="false" customHeight="false" outlineLevel="0" collapsed="false">
      <c r="A31" s="5" t="s">
        <v>85</v>
      </c>
      <c r="B31" s="6" t="n">
        <v>9.4986766</v>
      </c>
      <c r="C31" s="6" t="n">
        <v>9.3514274</v>
      </c>
      <c r="D31" s="7" t="n">
        <f aca="false">IF(B31=0,"",C31/B31)</f>
        <v>0.984497924689846</v>
      </c>
      <c r="E31" s="5" t="str">
        <f aca="false">IF(D31="","",IF(D31&lt;0.5,"Declines more than 50%",IF(D31&lt;0.8,"Declines 20-50%",IF(D31&lt;=1.25,"Stable (within 25%)",IF(D31&lt;=2,"Rises 25-100%","Rises more than 2x")))))</f>
        <v>Stable (within 25%)</v>
      </c>
    </row>
    <row r="32" customFormat="false" ht="15" hidden="false" customHeight="false" outlineLevel="0" collapsed="false">
      <c r="A32" s="5" t="s">
        <v>67</v>
      </c>
      <c r="B32" s="6" t="n">
        <v>0.52995598</v>
      </c>
      <c r="C32" s="6" t="n">
        <v>0.52432736</v>
      </c>
      <c r="D32" s="7" t="n">
        <f aca="false">IF(B32=0,"",C32/B32)</f>
        <v>0.989379080126617</v>
      </c>
      <c r="E32" s="5" t="str">
        <f aca="false">IF(D32="","",IF(D32&lt;0.5,"Declines more than 50%",IF(D32&lt;0.8,"Declines 20-50%",IF(D32&lt;=1.25,"Stable (within 25%)",IF(D32&lt;=2,"Rises 25-100%","Rises more than 2x")))))</f>
        <v>Stable (within 25%)</v>
      </c>
    </row>
    <row r="33" customFormat="false" ht="15" hidden="false" customHeight="false" outlineLevel="0" collapsed="false">
      <c r="A33" s="5" t="s">
        <v>38</v>
      </c>
      <c r="B33" s="6" t="n">
        <v>6.6765644</v>
      </c>
      <c r="C33" s="6" t="n">
        <v>6.6126426</v>
      </c>
      <c r="D33" s="7" t="n">
        <f aca="false">IF(B33=0,"",C33/B33)</f>
        <v>0.990425944217658</v>
      </c>
      <c r="E33" s="5" t="str">
        <f aca="false">IF(D33="","",IF(D33&lt;0.5,"Declines more than 50%",IF(D33&lt;0.8,"Declines 20-50%",IF(D33&lt;=1.25,"Stable (within 25%)",IF(D33&lt;=2,"Rises 25-100%","Rises more than 2x")))))</f>
        <v>Stable (within 25%)</v>
      </c>
    </row>
    <row r="34" customFormat="false" ht="15" hidden="false" customHeight="false" outlineLevel="0" collapsed="false">
      <c r="A34" s="5" t="s">
        <v>64</v>
      </c>
      <c r="B34" s="6" t="n">
        <v>33.141804</v>
      </c>
      <c r="C34" s="6" t="n">
        <v>32.917644</v>
      </c>
      <c r="D34" s="7" t="n">
        <f aca="false">IF(B34=0,"",C34/B34)</f>
        <v>0.993236336802909</v>
      </c>
      <c r="E34" s="5" t="str">
        <f aca="false">IF(D34="","",IF(D34&lt;0.5,"Declines more than 50%",IF(D34&lt;0.8,"Declines 20-50%",IF(D34&lt;=1.25,"Stable (within 25%)",IF(D34&lt;=2,"Rises 25-100%","Rises more than 2x")))))</f>
        <v>Stable (within 25%)</v>
      </c>
    </row>
    <row r="35" customFormat="false" ht="15" hidden="false" customHeight="false" outlineLevel="0" collapsed="false">
      <c r="A35" s="5" t="s">
        <v>46</v>
      </c>
      <c r="B35" s="6" t="n">
        <v>15.182006</v>
      </c>
      <c r="C35" s="6" t="n">
        <v>15.134858</v>
      </c>
      <c r="D35" s="7" t="n">
        <f aca="false">IF(B35=0,"",C35/B35)</f>
        <v>0.996894481532941</v>
      </c>
      <c r="E35" s="5" t="str">
        <f aca="false">IF(D35="","",IF(D35&lt;0.5,"Declines more than 50%",IF(D35&lt;0.8,"Declines 20-50%",IF(D35&lt;=1.25,"Stable (within 25%)",IF(D35&lt;=2,"Rises 25-100%","Rises more than 2x")))))</f>
        <v>Stable (within 25%)</v>
      </c>
    </row>
    <row r="36" customFormat="false" ht="15" hidden="false" customHeight="false" outlineLevel="0" collapsed="false">
      <c r="A36" s="5" t="s">
        <v>52</v>
      </c>
      <c r="B36" s="6" t="n">
        <v>14.17881</v>
      </c>
      <c r="C36" s="6" t="n">
        <v>14.146058</v>
      </c>
      <c r="D36" s="7" t="n">
        <f aca="false">IF(B36=0,"",C36/B36)</f>
        <v>0.99769007413175</v>
      </c>
      <c r="E36" s="5" t="str">
        <f aca="false">IF(D36="","",IF(D36&lt;0.5,"Declines more than 50%",IF(D36&lt;0.8,"Declines 20-50%",IF(D36&lt;=1.25,"Stable (within 25%)",IF(D36&lt;=2,"Rises 25-100%","Rises more than 2x")))))</f>
        <v>Stable (within 25%)</v>
      </c>
    </row>
    <row r="37" customFormat="false" ht="15" hidden="false" customHeight="false" outlineLevel="0" collapsed="false">
      <c r="A37" s="5" t="s">
        <v>113</v>
      </c>
      <c r="B37" s="6" t="n">
        <v>19.232954</v>
      </c>
      <c r="C37" s="6" t="n">
        <v>19.190406</v>
      </c>
      <c r="D37" s="7" t="n">
        <f aca="false">IF(B37=0,"",C37/B37)</f>
        <v>0.997787755328693</v>
      </c>
      <c r="E37" s="5" t="str">
        <f aca="false">IF(D37="","",IF(D37&lt;0.5,"Declines more than 50%",IF(D37&lt;0.8,"Declines 20-50%",IF(D37&lt;=1.25,"Stable (within 25%)",IF(D37&lt;=2,"Rises 25-100%","Rises more than 2x")))))</f>
        <v>Stable (within 25%)</v>
      </c>
    </row>
    <row r="38" customFormat="false" ht="15" hidden="false" customHeight="false" outlineLevel="0" collapsed="false">
      <c r="A38" s="5" t="s">
        <v>60</v>
      </c>
      <c r="B38" s="6" t="n">
        <v>38.560538</v>
      </c>
      <c r="C38" s="6" t="n">
        <v>38.511556</v>
      </c>
      <c r="D38" s="7" t="n">
        <f aca="false">IF(B38=0,"",C38/B38)</f>
        <v>0.998729737640072</v>
      </c>
      <c r="E38" s="5" t="str">
        <f aca="false">IF(D38="","",IF(D38&lt;0.5,"Declines more than 50%",IF(D38&lt;0.8,"Declines 20-50%",IF(D38&lt;=1.25,"Stable (within 25%)",IF(D38&lt;=2,"Rises 25-100%","Rises more than 2x")))))</f>
        <v>Stable (within 25%)</v>
      </c>
    </row>
    <row r="39" customFormat="false" ht="15" hidden="false" customHeight="false" outlineLevel="0" collapsed="false">
      <c r="A39" s="5" t="s">
        <v>72</v>
      </c>
      <c r="B39" s="6" t="n">
        <v>225.76358</v>
      </c>
      <c r="C39" s="6" t="n">
        <v>225.63816</v>
      </c>
      <c r="D39" s="7" t="n">
        <f aca="false">IF(B39=0,"",C39/B39)</f>
        <v>0.999444463097192</v>
      </c>
      <c r="E39" s="5" t="str">
        <f aca="false">IF(D39="","",IF(D39&lt;0.5,"Declines more than 50%",IF(D39&lt;0.8,"Declines 20-50%",IF(D39&lt;=1.25,"Stable (within 25%)",IF(D39&lt;=2,"Rises 25-100%","Rises more than 2x")))))</f>
        <v>Stable (within 25%)</v>
      </c>
    </row>
    <row r="40" customFormat="false" ht="15" hidden="false" customHeight="false" outlineLevel="0" collapsed="false">
      <c r="A40" s="5" t="s">
        <v>50</v>
      </c>
      <c r="B40" s="6" t="n">
        <v>76.61663</v>
      </c>
      <c r="C40" s="6" t="n">
        <v>76.600438</v>
      </c>
      <c r="D40" s="7" t="n">
        <f aca="false">IF(B40=0,"",C40/B40)</f>
        <v>0.99978866206984</v>
      </c>
      <c r="E40" s="5" t="str">
        <f aca="false">IF(D40="","",IF(D40&lt;0.5,"Declines more than 50%",IF(D40&lt;0.8,"Declines 20-50%",IF(D40&lt;=1.25,"Stable (within 25%)",IF(D40&lt;=2,"Rises 25-100%","Rises more than 2x")))))</f>
        <v>Stable (within 25%)</v>
      </c>
    </row>
    <row r="41" customFormat="false" ht="15" hidden="false" customHeight="false" outlineLevel="0" collapsed="false">
      <c r="A41" s="5" t="s">
        <v>57</v>
      </c>
      <c r="B41" s="6" t="n">
        <v>77.162006</v>
      </c>
      <c r="C41" s="6" t="n">
        <v>77.247444</v>
      </c>
      <c r="D41" s="7" t="n">
        <f aca="false">IF(B41=0,"",C41/B41)</f>
        <v>1.00110725478029</v>
      </c>
      <c r="E41" s="5" t="str">
        <f aca="false">IF(D41="","",IF(D41&lt;0.5,"Declines more than 50%",IF(D41&lt;0.8,"Declines 20-50%",IF(D41&lt;=1.25,"Stable (within 25%)",IF(D41&lt;=2,"Rises 25-100%","Rises more than 2x")))))</f>
        <v>Stable (within 25%)</v>
      </c>
    </row>
    <row r="42" customFormat="false" ht="15" hidden="false" customHeight="false" outlineLevel="0" collapsed="false">
      <c r="A42" s="5" t="s">
        <v>69</v>
      </c>
      <c r="B42" s="6" t="n">
        <v>174.13688</v>
      </c>
      <c r="C42" s="6" t="n">
        <v>174.33748</v>
      </c>
      <c r="D42" s="7" t="n">
        <f aca="false">IF(B42=0,"",C42/B42)</f>
        <v>1.0011519673489</v>
      </c>
      <c r="E42" s="5" t="str">
        <f aca="false">IF(D42="","",IF(D42&lt;0.5,"Declines more than 50%",IF(D42&lt;0.8,"Declines 20-50%",IF(D42&lt;=1.25,"Stable (within 25%)",IF(D42&lt;=2,"Rises 25-100%","Rises more than 2x")))))</f>
        <v>Stable (within 25%)</v>
      </c>
    </row>
    <row r="43" customFormat="false" ht="15" hidden="false" customHeight="false" outlineLevel="0" collapsed="false">
      <c r="A43" s="5" t="s">
        <v>51</v>
      </c>
      <c r="B43" s="6" t="n">
        <v>29.870332</v>
      </c>
      <c r="C43" s="6" t="n">
        <v>29.906412</v>
      </c>
      <c r="D43" s="7" t="n">
        <f aca="false">IF(B43=0,"",C43/B43)</f>
        <v>1.00120788747845</v>
      </c>
      <c r="E43" s="5" t="str">
        <f aca="false">IF(D43="","",IF(D43&lt;0.5,"Declines more than 50%",IF(D43&lt;0.8,"Declines 20-50%",IF(D43&lt;=1.25,"Stable (within 25%)",IF(D43&lt;=2,"Rises 25-100%","Rises more than 2x")))))</f>
        <v>Stable (within 25%)</v>
      </c>
    </row>
    <row r="44" customFormat="false" ht="15" hidden="false" customHeight="false" outlineLevel="0" collapsed="false">
      <c r="A44" s="5" t="s">
        <v>78</v>
      </c>
      <c r="B44" s="6" t="n">
        <v>29.010976</v>
      </c>
      <c r="C44" s="6" t="n">
        <v>29.260666</v>
      </c>
      <c r="D44" s="7" t="n">
        <f aca="false">IF(B44=0,"",C44/B44)</f>
        <v>1.00860674249636</v>
      </c>
      <c r="E44" s="5" t="str">
        <f aca="false">IF(D44="","",IF(D44&lt;0.5,"Declines more than 50%",IF(D44&lt;0.8,"Declines 20-50%",IF(D44&lt;=1.25,"Stable (within 25%)",IF(D44&lt;=2,"Rises 25-100%","Rises more than 2x")))))</f>
        <v>Stable (within 25%)</v>
      </c>
    </row>
    <row r="45" customFormat="false" ht="15" hidden="false" customHeight="false" outlineLevel="0" collapsed="false">
      <c r="A45" s="5" t="s">
        <v>76</v>
      </c>
      <c r="B45" s="6" t="n">
        <v>5.4003542</v>
      </c>
      <c r="C45" s="6" t="n">
        <v>5.4781656</v>
      </c>
      <c r="D45" s="7" t="n">
        <f aca="false">IF(B45=0,"",C45/B45)</f>
        <v>1.01440857342283</v>
      </c>
      <c r="E45" s="5" t="str">
        <f aca="false">IF(D45="","",IF(D45&lt;0.5,"Declines more than 50%",IF(D45&lt;0.8,"Declines 20-50%",IF(D45&lt;=1.25,"Stable (within 25%)",IF(D45&lt;=2,"Rises 25-100%","Rises more than 2x")))))</f>
        <v>Stable (within 25%)</v>
      </c>
    </row>
    <row r="46" customFormat="false" ht="15" hidden="false" customHeight="false" outlineLevel="0" collapsed="false">
      <c r="A46" s="5" t="s">
        <v>114</v>
      </c>
      <c r="B46" s="6" t="n">
        <v>27.67357</v>
      </c>
      <c r="C46" s="6" t="n">
        <v>28.106954</v>
      </c>
      <c r="D46" s="7" t="n">
        <f aca="false">IF(B46=0,"",C46/B46)</f>
        <v>1.01566057433139</v>
      </c>
      <c r="E46" s="5" t="str">
        <f aca="false">IF(D46="","",IF(D46&lt;0.5,"Declines more than 50%",IF(D46&lt;0.8,"Declines 20-50%",IF(D46&lt;=1.25,"Stable (within 25%)",IF(D46&lt;=2,"Rises 25-100%","Rises more than 2x")))))</f>
        <v>Stable (within 25%)</v>
      </c>
    </row>
    <row r="47" customFormat="false" ht="15" hidden="false" customHeight="false" outlineLevel="0" collapsed="false">
      <c r="A47" s="5" t="s">
        <v>61</v>
      </c>
      <c r="B47" s="6" t="n">
        <v>4.8310948</v>
      </c>
      <c r="C47" s="6" t="n">
        <v>4.9904086</v>
      </c>
      <c r="D47" s="7" t="n">
        <f aca="false">IF(B47=0,"",C47/B47)</f>
        <v>1.03297674887274</v>
      </c>
      <c r="E47" s="5" t="str">
        <f aca="false">IF(D47="","",IF(D47&lt;0.5,"Declines more than 50%",IF(D47&lt;0.8,"Declines 20-50%",IF(D47&lt;=1.25,"Stable (within 25%)",IF(D47&lt;=2,"Rises 25-100%","Rises more than 2x")))))</f>
        <v>Stable (within 25%)</v>
      </c>
    </row>
    <row r="48" customFormat="false" ht="15" hidden="false" customHeight="false" outlineLevel="0" collapsed="false">
      <c r="A48" s="5" t="s">
        <v>55</v>
      </c>
      <c r="B48" s="6" t="n">
        <v>7.9329372</v>
      </c>
      <c r="C48" s="6" t="n">
        <v>8.2691804</v>
      </c>
      <c r="D48" s="7" t="n">
        <f aca="false">IF(B48=0,"",C48/B48)</f>
        <v>1.04238571307485</v>
      </c>
      <c r="E48" s="5" t="str">
        <f aca="false">IF(D48="","",IF(D48&lt;0.5,"Declines more than 50%",IF(D48&lt;0.8,"Declines 20-50%",IF(D48&lt;=1.25,"Stable (within 25%)",IF(D48&lt;=2,"Rises 25-100%","Rises more than 2x")))))</f>
        <v>Stable (within 25%)</v>
      </c>
    </row>
    <row r="49" customFormat="false" ht="15" hidden="false" customHeight="false" outlineLevel="0" collapsed="false">
      <c r="A49" s="5" t="s">
        <v>47</v>
      </c>
      <c r="B49" s="6" t="n">
        <v>0.21019008</v>
      </c>
      <c r="C49" s="6" t="n">
        <v>0.21992064</v>
      </c>
      <c r="D49" s="7" t="n">
        <f aca="false">IF(B49=0,"",C49/B49)</f>
        <v>1.04629409722857</v>
      </c>
      <c r="E49" s="5" t="str">
        <f aca="false">IF(D49="","",IF(D49&lt;0.5,"Declines more than 50%",IF(D49&lt;0.8,"Declines 20-50%",IF(D49&lt;=1.25,"Stable (within 25%)",IF(D49&lt;=2,"Rises 25-100%","Rises more than 2x")))))</f>
        <v>Stable (within 25%)</v>
      </c>
    </row>
    <row r="50" customFormat="false" ht="15" hidden="false" customHeight="false" outlineLevel="0" collapsed="false">
      <c r="A50" s="5" t="s">
        <v>115</v>
      </c>
      <c r="B50" s="6" t="n">
        <v>0.16876606</v>
      </c>
      <c r="C50" s="6" t="n">
        <v>0.1791513</v>
      </c>
      <c r="D50" s="7" t="n">
        <f aca="false">IF(B50=0,"",C50/B50)</f>
        <v>1.06153630652988</v>
      </c>
      <c r="E50" s="5" t="str">
        <f aca="false">IF(D50="","",IF(D50&lt;0.5,"Declines more than 50%",IF(D50&lt;0.8,"Declines 20-50%",IF(D50&lt;=1.25,"Stable (within 25%)",IF(D50&lt;=2,"Rises 25-100%","Rises more than 2x")))))</f>
        <v>Stable (within 25%)</v>
      </c>
    </row>
    <row r="51" customFormat="false" ht="15" hidden="false" customHeight="false" outlineLevel="0" collapsed="false">
      <c r="A51" s="5" t="s">
        <v>58</v>
      </c>
      <c r="B51" s="6" t="n">
        <v>3.8195434</v>
      </c>
      <c r="C51" s="6" t="n">
        <v>4.1855142</v>
      </c>
      <c r="D51" s="7" t="n">
        <f aca="false">IF(B51=0,"",C51/B51)</f>
        <v>1.09581532703621</v>
      </c>
      <c r="E51" s="5" t="str">
        <f aca="false">IF(D51="","",IF(D51&lt;0.5,"Declines more than 50%",IF(D51&lt;0.8,"Declines 20-50%",IF(D51&lt;=1.25,"Stable (within 25%)",IF(D51&lt;=2,"Rises 25-100%","Rises more than 2x")))))</f>
        <v>Stable (within 25%)</v>
      </c>
    </row>
    <row r="52" customFormat="false" ht="15" hidden="false" customHeight="false" outlineLevel="0" collapsed="false">
      <c r="A52" s="5" t="s">
        <v>116</v>
      </c>
      <c r="B52" s="6" t="n">
        <v>6.4148966</v>
      </c>
      <c r="C52" s="6" t="n">
        <v>7.0813386</v>
      </c>
      <c r="D52" s="7" t="n">
        <f aca="false">IF(B52=0,"",C52/B52)</f>
        <v>1.10388974936868</v>
      </c>
      <c r="E52" s="5" t="str">
        <f aca="false">IF(D52="","",IF(D52&lt;0.5,"Declines more than 50%",IF(D52&lt;0.8,"Declines 20-50%",IF(D52&lt;=1.25,"Stable (within 25%)",IF(D52&lt;=2,"Rises 25-100%","Rises more than 2x")))))</f>
        <v>Stable (within 25%)</v>
      </c>
    </row>
    <row r="53" customFormat="false" ht="15" hidden="false" customHeight="false" outlineLevel="0" collapsed="false">
      <c r="A53" s="5" t="s">
        <v>117</v>
      </c>
      <c r="B53" s="6" t="n">
        <v>0.69915552</v>
      </c>
      <c r="C53" s="6" t="n">
        <v>0.81433578</v>
      </c>
      <c r="D53" s="7" t="n">
        <f aca="false">IF(B53=0,"",C53/B53)</f>
        <v>1.164741973288</v>
      </c>
      <c r="E53" s="5" t="str">
        <f aca="false">IF(D53="","",IF(D53&lt;0.5,"Declines more than 50%",IF(D53&lt;0.8,"Declines 20-50%",IF(D53&lt;=1.25,"Stable (within 25%)",IF(D53&lt;=2,"Rises 25-100%","Rises more than 2x")))))</f>
        <v>Stable (within 25%)</v>
      </c>
    </row>
    <row r="54" customFormat="false" ht="15" hidden="false" customHeight="false" outlineLevel="0" collapsed="false">
      <c r="A54" s="5" t="s">
        <v>49</v>
      </c>
      <c r="B54" s="6" t="n">
        <v>0.06463418</v>
      </c>
      <c r="C54" s="6" t="n">
        <v>0.075747594</v>
      </c>
      <c r="D54" s="7" t="n">
        <f aca="false">IF(B54=0,"",C54/B54)</f>
        <v>1.17194329687481</v>
      </c>
      <c r="E54" s="5" t="str">
        <f aca="false">IF(D54="","",IF(D54&lt;0.5,"Declines more than 50%",IF(D54&lt;0.8,"Declines 20-50%",IF(D54&lt;=1.25,"Stable (within 25%)",IF(D54&lt;=2,"Rises 25-100%","Rises more than 2x")))))</f>
        <v>Stable (within 25%)</v>
      </c>
    </row>
    <row r="55" customFormat="false" ht="15" hidden="false" customHeight="false" outlineLevel="0" collapsed="false">
      <c r="A55" s="5" t="s">
        <v>118</v>
      </c>
      <c r="B55" s="6" t="n">
        <v>0.6717324</v>
      </c>
      <c r="C55" s="6" t="n">
        <v>0.78961344</v>
      </c>
      <c r="D55" s="7" t="n">
        <f aca="false">IF(B55=0,"",C55/B55)</f>
        <v>1.17548809615258</v>
      </c>
      <c r="E55" s="5" t="str">
        <f aca="false">IF(D55="","",IF(D55&lt;0.5,"Declines more than 50%",IF(D55&lt;0.8,"Declines 20-50%",IF(D55&lt;=1.25,"Stable (within 25%)",IF(D55&lt;=2,"Rises 25-100%","Rises more than 2x")))))</f>
        <v>Stable (within 25%)</v>
      </c>
    </row>
    <row r="56" customFormat="false" ht="15" hidden="false" customHeight="false" outlineLevel="0" collapsed="false">
      <c r="A56" s="5" t="s">
        <v>119</v>
      </c>
      <c r="B56" s="6" t="n">
        <v>0.23767828</v>
      </c>
      <c r="C56" s="6" t="n">
        <v>0.32120952</v>
      </c>
      <c r="D56" s="7" t="n">
        <f aca="false">IF(B56=0,"",C56/B56)</f>
        <v>1.35144666984295</v>
      </c>
      <c r="E56" s="5" t="str">
        <f aca="false">IF(D56="","",IF(D56&lt;0.5,"Declines more than 50%",IF(D56&lt;0.8,"Declines 20-50%",IF(D56&lt;=1.25,"Stable (within 25%)",IF(D56&lt;=2,"Rises 25-100%","Rises more than 2x")))))</f>
        <v>Rises 25-100%</v>
      </c>
    </row>
    <row r="57" customFormat="false" ht="15" hidden="false" customHeight="false" outlineLevel="0" collapsed="false">
      <c r="A57" s="5" t="s">
        <v>120</v>
      </c>
      <c r="B57" s="6" t="n">
        <v>0.7254977</v>
      </c>
      <c r="C57" s="6" t="n">
        <v>0.98250262</v>
      </c>
      <c r="D57" s="7" t="n">
        <f aca="false">IF(B57=0,"",C57/B57)</f>
        <v>1.35424636080859</v>
      </c>
      <c r="E57" s="5" t="str">
        <f aca="false">IF(D57="","",IF(D57&lt;0.5,"Declines more than 50%",IF(D57&lt;0.8,"Declines 20-50%",IF(D57&lt;=1.25,"Stable (within 25%)",IF(D57&lt;=2,"Rises 25-100%","Rises more than 2x")))))</f>
        <v>Rises 25-100%</v>
      </c>
    </row>
    <row r="58" customFormat="false" ht="15" hidden="false" customHeight="false" outlineLevel="0" collapsed="false">
      <c r="A58" s="5" t="s">
        <v>121</v>
      </c>
      <c r="B58" s="6" t="n">
        <v>0.40420478</v>
      </c>
      <c r="C58" s="6" t="n">
        <v>0.554172</v>
      </c>
      <c r="D58" s="7" t="n">
        <f aca="false">IF(B58=0,"",C58/B58)</f>
        <v>1.37101792809081</v>
      </c>
      <c r="E58" s="5" t="str">
        <f aca="false">IF(D58="","",IF(D58&lt;0.5,"Declines more than 50%",IF(D58&lt;0.8,"Declines 20-50%",IF(D58&lt;=1.25,"Stable (within 25%)",IF(D58&lt;=2,"Rises 25-100%","Rises more than 2x")))))</f>
        <v>Rises 25-100%</v>
      </c>
    </row>
    <row r="59" customFormat="false" ht="15" hidden="false" customHeight="false" outlineLevel="0" collapsed="false">
      <c r="A59" s="5" t="s">
        <v>87</v>
      </c>
      <c r="B59" s="6" t="n">
        <v>2.388965</v>
      </c>
      <c r="C59" s="6" t="n">
        <v>3.2840908</v>
      </c>
      <c r="D59" s="7" t="n">
        <f aca="false">IF(B59=0,"",C59/B59)</f>
        <v>1.37469188539807</v>
      </c>
      <c r="E59" s="5" t="str">
        <f aca="false">IF(D59="","",IF(D59&lt;0.5,"Declines more than 50%",IF(D59&lt;0.8,"Declines 20-50%",IF(D59&lt;=1.25,"Stable (within 25%)",IF(D59&lt;=2,"Rises 25-100%","Rises more than 2x")))))</f>
        <v>Rises 25-100%</v>
      </c>
    </row>
    <row r="60" customFormat="false" ht="15" hidden="false" customHeight="false" outlineLevel="0" collapsed="false">
      <c r="A60" s="5" t="s">
        <v>80</v>
      </c>
      <c r="B60" s="6" t="n">
        <v>0.25294344</v>
      </c>
      <c r="C60" s="6" t="n">
        <v>0.3494953</v>
      </c>
      <c r="D60" s="7" t="n">
        <f aca="false">IF(B60=0,"",C60/B60)</f>
        <v>1.38171323992431</v>
      </c>
      <c r="E60" s="5" t="str">
        <f aca="false">IF(D60="","",IF(D60&lt;0.5,"Declines more than 50%",IF(D60&lt;0.8,"Declines 20-50%",IF(D60&lt;=1.25,"Stable (within 25%)",IF(D60&lt;=2,"Rises 25-100%","Rises more than 2x")))))</f>
        <v>Rises 25-100%</v>
      </c>
    </row>
    <row r="61" customFormat="false" ht="15" hidden="false" customHeight="false" outlineLevel="0" collapsed="false">
      <c r="A61" s="5" t="s">
        <v>122</v>
      </c>
      <c r="B61" s="6" t="n">
        <v>0.25201654</v>
      </c>
      <c r="C61" s="6" t="n">
        <v>0.37119562</v>
      </c>
      <c r="D61" s="7" t="n">
        <f aca="false">IF(B61=0,"",C61/B61)</f>
        <v>1.47290181826955</v>
      </c>
      <c r="E61" s="5" t="str">
        <f aca="false">IF(D61="","",IF(D61&lt;0.5,"Declines more than 50%",IF(D61&lt;0.8,"Declines 20-50%",IF(D61&lt;=1.25,"Stable (within 25%)",IF(D61&lt;=2,"Rises 25-100%","Rises more than 2x")))))</f>
        <v>Rises 25-100%</v>
      </c>
    </row>
    <row r="62" customFormat="false" ht="15" hidden="false" customHeight="false" outlineLevel="0" collapsed="false">
      <c r="A62" s="5" t="s">
        <v>123</v>
      </c>
      <c r="B62" s="6" t="n">
        <v>0.13032532</v>
      </c>
      <c r="C62" s="6" t="n">
        <v>0.21232548</v>
      </c>
      <c r="D62" s="7" t="n">
        <f aca="false">IF(B62=0,"",C62/B62)</f>
        <v>1.62919592294114</v>
      </c>
      <c r="E62" s="5" t="str">
        <f aca="false">IF(D62="","",IF(D62&lt;0.5,"Declines more than 50%",IF(D62&lt;0.8,"Declines 20-50%",IF(D62&lt;=1.25,"Stable (within 25%)",IF(D62&lt;=2,"Rises 25-100%","Rises more than 2x")))))</f>
        <v>Rises 25-100%</v>
      </c>
    </row>
    <row r="63" customFormat="false" ht="15" hidden="false" customHeight="false" outlineLevel="0" collapsed="false">
      <c r="A63" s="5" t="s">
        <v>124</v>
      </c>
      <c r="B63" s="6" t="n">
        <v>0.105955108</v>
      </c>
      <c r="C63" s="6" t="n">
        <v>0.25528808</v>
      </c>
      <c r="D63" s="7" t="n">
        <f aca="false">IF(B63=0,"",C63/B63)</f>
        <v>2.40939851620934</v>
      </c>
      <c r="E63" s="5" t="str">
        <f aca="false">IF(D63="","",IF(D63&lt;0.5,"Declines more than 50%",IF(D63&lt;0.8,"Declines 20-50%",IF(D63&lt;=1.25,"Stable (within 25%)",IF(D63&lt;=2,"Rises 25-100%","Rises more than 2x")))))</f>
        <v>Rises more than 2x</v>
      </c>
    </row>
    <row r="64" customFormat="false" ht="15" hidden="false" customHeight="false" outlineLevel="0" collapsed="false">
      <c r="A64" s="5" t="s">
        <v>125</v>
      </c>
      <c r="B64" s="6" t="n">
        <v>0.0002233705</v>
      </c>
      <c r="C64" s="6" t="n">
        <v>0.0019515474</v>
      </c>
      <c r="D64" s="7" t="n">
        <f aca="false">IF(B64=0,"",C64/B64)</f>
        <v>8.73681797730676</v>
      </c>
      <c r="E64" s="5" t="str">
        <f aca="false">IF(D64="","",IF(D64&lt;0.5,"Declines more than 50%",IF(D64&lt;0.8,"Declines 20-50%",IF(D64&lt;=1.25,"Stable (within 25%)",IF(D64&lt;=2,"Rises 25-100%","Rises more than 2x")))))</f>
        <v>Rises more than 2x</v>
      </c>
    </row>
    <row r="65" customFormat="false" ht="15" hidden="false" customHeight="false" outlineLevel="0" collapsed="false">
      <c r="A65" s="5" t="s">
        <v>126</v>
      </c>
      <c r="B65" s="6" t="n">
        <v>0.0099768538</v>
      </c>
      <c r="C65" s="6" t="n">
        <v>0.16378308</v>
      </c>
      <c r="D65" s="7" t="n">
        <f aca="false">IF(B65=0,"",C65/B65)</f>
        <v>16.4163055090574</v>
      </c>
      <c r="E65" s="5" t="str">
        <f aca="false">IF(D65="","",IF(D65&lt;0.5,"Declines more than 50%",IF(D65&lt;0.8,"Declines 20-50%",IF(D65&lt;=1.25,"Stable (within 25%)",IF(D65&lt;=2,"Rises 25-100%","Rises more than 2x")))))</f>
        <v>Rises more than 2x</v>
      </c>
    </row>
    <row r="67" customFormat="false" ht="15" hidden="false" customHeight="false" outlineLevel="0" collapsed="false">
      <c r="A67" s="8" t="s">
        <v>127</v>
      </c>
      <c r="D67" s="5" t="n">
        <f aca="false">COUNTIF(E2:E65,"Stable (within 25%)")</f>
        <v>30</v>
      </c>
    </row>
    <row r="68" customFormat="false" ht="15" hidden="false" customHeight="false" outlineLevel="0" collapsed="false">
      <c r="A68" s="9"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sheetData>
    <row r="1" customFormat="false" ht="15" hidden="false" customHeight="false" outlineLevel="0" collapsed="false">
      <c r="B1" s="0" t="s">
        <v>129</v>
      </c>
      <c r="C1" s="0" t="s">
        <v>27</v>
      </c>
      <c r="D1" s="0" t="s">
        <v>130</v>
      </c>
      <c r="E1" s="0" t="s">
        <v>131</v>
      </c>
      <c r="F1" s="0" t="s">
        <v>132</v>
      </c>
      <c r="G1" s="0" t="s">
        <v>133</v>
      </c>
      <c r="H1" s="0" t="s">
        <v>134</v>
      </c>
      <c r="I1" s="0" t="s">
        <v>135</v>
      </c>
      <c r="J1" s="0" t="s">
        <v>136</v>
      </c>
    </row>
    <row r="2" customFormat="false" ht="15" hidden="false" customHeight="false" outlineLevel="0" collapsed="false">
      <c r="A2" s="0" t="n">
        <v>1</v>
      </c>
      <c r="B2" s="0" t="s">
        <v>32</v>
      </c>
      <c r="C2" s="10" t="n">
        <v>3000</v>
      </c>
      <c r="D2" s="0" t="n">
        <v>2</v>
      </c>
      <c r="E2" s="0" t="n">
        <v>2</v>
      </c>
      <c r="F2" s="0" t="n">
        <v>0</v>
      </c>
      <c r="G2" s="11" t="b">
        <f aca="false">FALSE()</f>
        <v>0</v>
      </c>
      <c r="H2" s="11" t="b">
        <f aca="false">FALSE()</f>
        <v>0</v>
      </c>
      <c r="I2" s="0" t="n">
        <v>0</v>
      </c>
      <c r="J2" s="0" t="n">
        <v>0.1</v>
      </c>
    </row>
    <row r="3" customFormat="false" ht="15" hidden="false" customHeight="false" outlineLevel="0" collapsed="false">
      <c r="A3" s="0" t="n">
        <v>2</v>
      </c>
      <c r="B3" s="0" t="s">
        <v>103</v>
      </c>
      <c r="C3" s="0" t="n">
        <v>2000</v>
      </c>
      <c r="D3" s="0" t="n">
        <v>2</v>
      </c>
      <c r="E3" s="0" t="n">
        <v>2</v>
      </c>
      <c r="F3" s="0" t="n">
        <v>0</v>
      </c>
      <c r="G3" s="11" t="b">
        <f aca="false">FALSE()</f>
        <v>0</v>
      </c>
      <c r="H3" s="11" t="b">
        <f aca="false">FALSE()</f>
        <v>0</v>
      </c>
      <c r="I3" s="0" t="n">
        <v>0</v>
      </c>
      <c r="J3" s="0" t="n">
        <v>0.1</v>
      </c>
    </row>
    <row r="4" customFormat="false" ht="15" hidden="false" customHeight="false" outlineLevel="0" collapsed="false">
      <c r="A4" s="0" t="n">
        <v>3</v>
      </c>
      <c r="B4" s="0" t="s">
        <v>89</v>
      </c>
      <c r="C4" s="0" t="n">
        <v>500</v>
      </c>
      <c r="D4" s="0" t="n">
        <v>2</v>
      </c>
      <c r="E4" s="0" t="n">
        <v>2</v>
      </c>
      <c r="F4" s="0" t="n">
        <v>0</v>
      </c>
      <c r="G4" s="11" t="b">
        <f aca="false">FALSE()</f>
        <v>0</v>
      </c>
      <c r="H4" s="11" t="b">
        <f aca="false">FALSE()</f>
        <v>0</v>
      </c>
      <c r="I4" s="0" t="n">
        <v>0</v>
      </c>
      <c r="J4" s="0" t="n">
        <v>0.1</v>
      </c>
    </row>
    <row r="5" customFormat="false" ht="15" hidden="false" customHeight="false" outlineLevel="0" collapsed="false">
      <c r="A5" s="0" t="n">
        <v>4</v>
      </c>
      <c r="B5" s="0" t="s">
        <v>49</v>
      </c>
      <c r="C5" s="0" t="n">
        <v>3000</v>
      </c>
      <c r="D5" s="0" t="n">
        <v>2</v>
      </c>
      <c r="E5" s="0" t="n">
        <v>2</v>
      </c>
      <c r="F5" s="0" t="n">
        <v>0</v>
      </c>
      <c r="G5" s="11" t="b">
        <f aca="false">FALSE()</f>
        <v>0</v>
      </c>
      <c r="H5" s="11" t="b">
        <f aca="false">FALSE()</f>
        <v>0</v>
      </c>
      <c r="I5" s="0" t="n">
        <v>0</v>
      </c>
      <c r="J5" s="0" t="n">
        <v>0.1</v>
      </c>
    </row>
    <row r="6" customFormat="false" ht="15" hidden="false" customHeight="false" outlineLevel="0" collapsed="false">
      <c r="A6" s="0" t="n">
        <v>5</v>
      </c>
      <c r="B6" s="0" t="s">
        <v>96</v>
      </c>
      <c r="C6" s="0" t="n">
        <v>300</v>
      </c>
      <c r="D6" s="0" t="n">
        <v>4</v>
      </c>
      <c r="E6" s="0" t="n">
        <v>1</v>
      </c>
      <c r="F6" s="0" t="n">
        <v>0</v>
      </c>
      <c r="G6" s="11" t="b">
        <f aca="false">FALSE()</f>
        <v>0</v>
      </c>
      <c r="H6" s="11" t="b">
        <f aca="false">FALSE()</f>
        <v>0</v>
      </c>
      <c r="I6" s="0" t="n">
        <v>0</v>
      </c>
      <c r="J6" s="0" t="n">
        <v>0.1</v>
      </c>
    </row>
    <row r="7" customFormat="false" ht="15" hidden="false" customHeight="false" outlineLevel="0" collapsed="false">
      <c r="A7" s="0" t="n">
        <v>6</v>
      </c>
      <c r="B7" s="0" t="s">
        <v>58</v>
      </c>
      <c r="C7" s="0" t="n">
        <v>500</v>
      </c>
      <c r="D7" s="0" t="n">
        <v>2</v>
      </c>
      <c r="E7" s="0" t="n">
        <v>2</v>
      </c>
      <c r="F7" s="0" t="n">
        <v>0</v>
      </c>
      <c r="G7" s="11" t="b">
        <f aca="false">FALSE()</f>
        <v>0</v>
      </c>
      <c r="H7" s="11" t="b">
        <f aca="false">FALSE()</f>
        <v>0</v>
      </c>
      <c r="I7" s="0" t="n">
        <v>0</v>
      </c>
      <c r="J7" s="0" t="n">
        <v>0.1</v>
      </c>
    </row>
    <row r="8" customFormat="false" ht="15" hidden="false" customHeight="false" outlineLevel="0" collapsed="false">
      <c r="A8" s="0" t="n">
        <v>7</v>
      </c>
      <c r="B8" s="0" t="s">
        <v>118</v>
      </c>
      <c r="C8" s="0" t="n">
        <v>50</v>
      </c>
      <c r="D8" s="0" t="n">
        <v>2</v>
      </c>
      <c r="E8" s="0" t="n">
        <v>2</v>
      </c>
      <c r="F8" s="0" t="n">
        <v>0</v>
      </c>
      <c r="G8" s="11" t="b">
        <f aca="false">FALSE()</f>
        <v>0</v>
      </c>
      <c r="H8" s="11" t="b">
        <f aca="false">FALSE()</f>
        <v>0</v>
      </c>
      <c r="I8" s="0" t="n">
        <v>0</v>
      </c>
      <c r="J8" s="0" t="n">
        <v>0.1</v>
      </c>
    </row>
    <row r="9" customFormat="false" ht="15" hidden="false" customHeight="false" outlineLevel="0" collapsed="false">
      <c r="A9" s="0" t="n">
        <v>8</v>
      </c>
      <c r="B9" s="0" t="s">
        <v>26</v>
      </c>
      <c r="C9" s="10" t="n">
        <v>50</v>
      </c>
      <c r="D9" s="0" t="n">
        <v>2</v>
      </c>
      <c r="E9" s="0" t="n">
        <v>2</v>
      </c>
      <c r="F9" s="0" t="n">
        <v>0</v>
      </c>
      <c r="G9" s="11" t="b">
        <f aca="false">FALSE()</f>
        <v>0</v>
      </c>
      <c r="H9" s="11" t="b">
        <f aca="false">FALSE()</f>
        <v>0</v>
      </c>
      <c r="I9" s="0" t="n">
        <v>0</v>
      </c>
      <c r="J9" s="0" t="n">
        <v>0.1</v>
      </c>
    </row>
    <row r="10" customFormat="false" ht="15" hidden="false" customHeight="false" outlineLevel="0" collapsed="false">
      <c r="A10" s="0" t="n">
        <v>9</v>
      </c>
      <c r="B10" s="0" t="s">
        <v>30</v>
      </c>
      <c r="C10" s="10" t="n">
        <v>100</v>
      </c>
      <c r="D10" s="0" t="n">
        <v>2</v>
      </c>
      <c r="E10" s="0" t="n">
        <v>2</v>
      </c>
      <c r="F10" s="0" t="n">
        <v>0</v>
      </c>
      <c r="G10" s="11" t="b">
        <f aca="false">FALSE()</f>
        <v>0</v>
      </c>
      <c r="H10" s="11" t="b">
        <f aca="false">FALSE()</f>
        <v>0</v>
      </c>
      <c r="I10" s="0" t="n">
        <v>0</v>
      </c>
      <c r="J10" s="0" t="n">
        <v>0.1</v>
      </c>
    </row>
    <row r="11" customFormat="false" ht="15" hidden="false" customHeight="false" outlineLevel="0" collapsed="false">
      <c r="A11" s="0" t="n">
        <v>10</v>
      </c>
      <c r="B11" s="0" t="s">
        <v>97</v>
      </c>
      <c r="C11" s="0" t="n">
        <v>50</v>
      </c>
      <c r="D11" s="0" t="n">
        <v>2</v>
      </c>
      <c r="E11" s="0" t="n">
        <v>2</v>
      </c>
      <c r="F11" s="0" t="n">
        <v>0</v>
      </c>
      <c r="G11" s="11" t="b">
        <f aca="false">FALSE()</f>
        <v>0</v>
      </c>
      <c r="H11" s="11" t="b">
        <f aca="false">FALSE()</f>
        <v>0</v>
      </c>
      <c r="I11" s="0" t="n">
        <v>0</v>
      </c>
      <c r="J11" s="0" t="n">
        <v>0.1</v>
      </c>
    </row>
    <row r="12" customFormat="false" ht="15" hidden="false" customHeight="false" outlineLevel="0" collapsed="false">
      <c r="A12" s="0" t="n">
        <v>11</v>
      </c>
      <c r="B12" s="0" t="s">
        <v>34</v>
      </c>
      <c r="C12" s="10" t="n">
        <v>50</v>
      </c>
      <c r="D12" s="0" t="n">
        <v>2</v>
      </c>
      <c r="E12" s="0" t="n">
        <v>2</v>
      </c>
      <c r="F12" s="0" t="n">
        <v>0</v>
      </c>
      <c r="G12" s="11" t="b">
        <f aca="false">FALSE()</f>
        <v>0</v>
      </c>
      <c r="H12" s="11" t="b">
        <f aca="false">FALSE()</f>
        <v>0</v>
      </c>
      <c r="I12" s="0" t="n">
        <v>0</v>
      </c>
      <c r="J12" s="0" t="n">
        <v>0.1</v>
      </c>
    </row>
    <row r="13" customFormat="false" ht="15" hidden="false" customHeight="false" outlineLevel="0" collapsed="false">
      <c r="A13" s="0" t="n">
        <v>12</v>
      </c>
      <c r="B13" s="0" t="s">
        <v>35</v>
      </c>
      <c r="C13" s="10" t="n">
        <v>50</v>
      </c>
      <c r="D13" s="0" t="n">
        <v>2</v>
      </c>
      <c r="E13" s="0" t="n">
        <v>2</v>
      </c>
      <c r="F13" s="0" t="n">
        <v>0</v>
      </c>
      <c r="G13" s="11" t="b">
        <f aca="false">FALSE()</f>
        <v>0</v>
      </c>
      <c r="H13" s="11" t="b">
        <f aca="false">FALSE()</f>
        <v>0</v>
      </c>
      <c r="I13" s="0" t="n">
        <v>0</v>
      </c>
      <c r="J13" s="0" t="n">
        <v>0.1</v>
      </c>
    </row>
    <row r="14" customFormat="false" ht="15" hidden="false" customHeight="false" outlineLevel="0" collapsed="false">
      <c r="A14" s="0" t="n">
        <v>13</v>
      </c>
      <c r="B14" s="0" t="s">
        <v>99</v>
      </c>
      <c r="C14" s="0" t="n">
        <v>50</v>
      </c>
      <c r="D14" s="0" t="n">
        <v>2</v>
      </c>
      <c r="E14" s="0" t="n">
        <v>2</v>
      </c>
      <c r="F14" s="0" t="n">
        <v>0</v>
      </c>
      <c r="G14" s="11" t="b">
        <f aca="false">FALSE()</f>
        <v>0</v>
      </c>
      <c r="H14" s="11" t="b">
        <f aca="false">FALSE()</f>
        <v>0</v>
      </c>
      <c r="I14" s="0" t="n">
        <v>0</v>
      </c>
      <c r="J14" s="0" t="n">
        <v>0.1</v>
      </c>
    </row>
    <row r="15" customFormat="false" ht="15" hidden="false" customHeight="false" outlineLevel="0" collapsed="false">
      <c r="A15" s="0" t="n">
        <v>14</v>
      </c>
      <c r="B15" s="0" t="s">
        <v>36</v>
      </c>
      <c r="C15" s="10" t="n">
        <v>50</v>
      </c>
      <c r="D15" s="0" t="n">
        <v>2</v>
      </c>
      <c r="E15" s="0" t="n">
        <v>2</v>
      </c>
      <c r="F15" s="0" t="n">
        <v>0</v>
      </c>
      <c r="G15" s="11" t="b">
        <f aca="false">FALSE()</f>
        <v>0</v>
      </c>
      <c r="H15" s="11" t="b">
        <f aca="false">FALSE()</f>
        <v>0</v>
      </c>
      <c r="I15" s="0" t="n">
        <v>0</v>
      </c>
      <c r="J15" s="0" t="n">
        <v>0.1</v>
      </c>
    </row>
    <row r="16" customFormat="false" ht="15" hidden="false" customHeight="false" outlineLevel="0" collapsed="false">
      <c r="A16" s="0" t="n">
        <v>15</v>
      </c>
      <c r="B16" s="0" t="s">
        <v>105</v>
      </c>
      <c r="C16" s="0" t="n">
        <v>100</v>
      </c>
      <c r="D16" s="0" t="n">
        <v>2</v>
      </c>
      <c r="E16" s="0" t="n">
        <v>2</v>
      </c>
      <c r="F16" s="0" t="n">
        <v>0</v>
      </c>
      <c r="G16" s="11" t="b">
        <f aca="false">FALSE()</f>
        <v>0</v>
      </c>
      <c r="H16" s="11" t="b">
        <f aca="false">FALSE()</f>
        <v>0</v>
      </c>
      <c r="I16" s="0" t="n">
        <v>0</v>
      </c>
      <c r="J16" s="0" t="n">
        <v>0.1</v>
      </c>
    </row>
    <row r="17" customFormat="false" ht="15" hidden="false" customHeight="false" outlineLevel="0" collapsed="false">
      <c r="A17" s="0" t="n">
        <v>16</v>
      </c>
      <c r="B17" s="0" t="s">
        <v>119</v>
      </c>
      <c r="C17" s="0" t="n">
        <v>50</v>
      </c>
      <c r="D17" s="0" t="n">
        <v>2</v>
      </c>
      <c r="E17" s="0" t="n">
        <v>2</v>
      </c>
      <c r="F17" s="0" t="n">
        <v>0</v>
      </c>
      <c r="G17" s="11" t="b">
        <f aca="false">FALSE()</f>
        <v>0</v>
      </c>
      <c r="H17" s="11" t="b">
        <f aca="false">FALSE()</f>
        <v>0</v>
      </c>
      <c r="I17" s="0" t="n">
        <v>0</v>
      </c>
      <c r="J17" s="0" t="n">
        <v>0.1</v>
      </c>
    </row>
    <row r="18" customFormat="false" ht="15" hidden="false" customHeight="false" outlineLevel="0" collapsed="false">
      <c r="A18" s="0" t="n">
        <v>17</v>
      </c>
      <c r="B18" s="0" t="s">
        <v>123</v>
      </c>
      <c r="C18" s="0" t="n">
        <v>50</v>
      </c>
      <c r="D18" s="0" t="n">
        <v>2</v>
      </c>
      <c r="E18" s="0" t="n">
        <v>2</v>
      </c>
      <c r="F18" s="0" t="n">
        <v>0</v>
      </c>
      <c r="G18" s="11" t="b">
        <f aca="false">FALSE()</f>
        <v>0</v>
      </c>
      <c r="H18" s="11" t="b">
        <f aca="false">FALSE()</f>
        <v>0</v>
      </c>
      <c r="I18" s="0" t="n">
        <v>0</v>
      </c>
      <c r="J18" s="0" t="n">
        <v>0.1</v>
      </c>
    </row>
    <row r="19" customFormat="false" ht="15" hidden="false" customHeight="false" outlineLevel="0" collapsed="false">
      <c r="A19" s="0" t="n">
        <v>18</v>
      </c>
      <c r="B19" s="0" t="s">
        <v>102</v>
      </c>
      <c r="C19" s="0" t="n">
        <v>100</v>
      </c>
      <c r="D19" s="0" t="n">
        <v>2</v>
      </c>
      <c r="E19" s="0" t="n">
        <v>2</v>
      </c>
      <c r="F19" s="0" t="n">
        <v>0</v>
      </c>
      <c r="G19" s="11" t="b">
        <f aca="false">FALSE()</f>
        <v>0</v>
      </c>
      <c r="H19" s="11" t="b">
        <f aca="false">FALSE()</f>
        <v>0</v>
      </c>
      <c r="I19" s="0" t="n">
        <v>0</v>
      </c>
      <c r="J19" s="0" t="n">
        <v>0.1</v>
      </c>
    </row>
    <row r="20" customFormat="false" ht="15" hidden="false" customHeight="false" outlineLevel="0" collapsed="false">
      <c r="A20" s="0" t="n">
        <v>19</v>
      </c>
      <c r="B20" s="0" t="s">
        <v>120</v>
      </c>
      <c r="C20" s="0" t="n">
        <v>50</v>
      </c>
      <c r="D20" s="0" t="n">
        <v>2</v>
      </c>
      <c r="E20" s="0" t="n">
        <v>2</v>
      </c>
      <c r="F20" s="0" t="n">
        <v>0</v>
      </c>
      <c r="G20" s="11" t="b">
        <f aca="false">FALSE()</f>
        <v>0</v>
      </c>
      <c r="H20" s="11" t="b">
        <f aca="false">FALSE()</f>
        <v>0</v>
      </c>
      <c r="I20" s="0" t="n">
        <v>0</v>
      </c>
      <c r="J20" s="0" t="n">
        <v>0.1</v>
      </c>
    </row>
    <row r="21" customFormat="false" ht="15" hidden="false" customHeight="false" outlineLevel="0" collapsed="false">
      <c r="A21" s="0" t="n">
        <v>20</v>
      </c>
      <c r="B21" s="0" t="s">
        <v>121</v>
      </c>
      <c r="C21" s="0" t="n">
        <v>25</v>
      </c>
      <c r="D21" s="0" t="n">
        <v>2</v>
      </c>
      <c r="E21" s="0" t="n">
        <v>2</v>
      </c>
      <c r="F21" s="0" t="n">
        <v>0</v>
      </c>
      <c r="G21" s="11" t="b">
        <f aca="false">FALSE()</f>
        <v>0</v>
      </c>
      <c r="H21" s="11" t="b">
        <f aca="false">FALSE()</f>
        <v>0</v>
      </c>
      <c r="I21" s="0" t="n">
        <v>0</v>
      </c>
      <c r="J21" s="0" t="n">
        <v>0.1</v>
      </c>
    </row>
    <row r="22" customFormat="false" ht="15" hidden="false" customHeight="false" outlineLevel="0" collapsed="false">
      <c r="A22" s="0" t="n">
        <v>21</v>
      </c>
      <c r="B22" s="0" t="s">
        <v>111</v>
      </c>
      <c r="C22" s="0" t="n">
        <v>25</v>
      </c>
      <c r="D22" s="0" t="n">
        <v>2</v>
      </c>
      <c r="E22" s="0" t="n">
        <v>2</v>
      </c>
      <c r="F22" s="0" t="n">
        <v>0</v>
      </c>
      <c r="G22" s="11" t="b">
        <f aca="false">FALSE()</f>
        <v>0</v>
      </c>
      <c r="H22" s="11" t="b">
        <f aca="false">FALSE()</f>
        <v>0</v>
      </c>
      <c r="I22" s="0" t="n">
        <v>0</v>
      </c>
      <c r="J22" s="0" t="n">
        <v>0.1</v>
      </c>
    </row>
    <row r="23" customFormat="false" ht="15" hidden="false" customHeight="false" outlineLevel="0" collapsed="false">
      <c r="A23" s="0" t="n">
        <v>22</v>
      </c>
      <c r="B23" s="0" t="s">
        <v>107</v>
      </c>
      <c r="C23" s="0" t="n">
        <v>10</v>
      </c>
      <c r="D23" s="0" t="n">
        <v>2</v>
      </c>
      <c r="E23" s="0" t="n">
        <v>2</v>
      </c>
      <c r="F23" s="0" t="n">
        <v>0</v>
      </c>
      <c r="G23" s="11" t="b">
        <f aca="false">FALSE()</f>
        <v>0</v>
      </c>
      <c r="H23" s="11" t="b">
        <f aca="false">FALSE()</f>
        <v>0</v>
      </c>
      <c r="I23" s="0" t="n">
        <v>0</v>
      </c>
      <c r="J23" s="0" t="n">
        <v>0.1</v>
      </c>
    </row>
    <row r="24" customFormat="false" ht="15" hidden="false" customHeight="false" outlineLevel="0" collapsed="false">
      <c r="A24" s="0" t="n">
        <v>23</v>
      </c>
      <c r="B24" s="0" t="s">
        <v>122</v>
      </c>
      <c r="C24" s="0" t="n">
        <v>10</v>
      </c>
      <c r="D24" s="0" t="n">
        <v>2</v>
      </c>
      <c r="E24" s="0" t="n">
        <v>2</v>
      </c>
      <c r="F24" s="0" t="n">
        <v>0</v>
      </c>
      <c r="G24" s="11" t="b">
        <f aca="false">FALSE()</f>
        <v>0</v>
      </c>
      <c r="H24" s="11" t="b">
        <f aca="false">FALSE()</f>
        <v>0</v>
      </c>
      <c r="I24" s="0" t="n">
        <v>0</v>
      </c>
      <c r="J24" s="0" t="n">
        <v>0.1</v>
      </c>
    </row>
    <row r="25" customFormat="false" ht="15" hidden="false" customHeight="false" outlineLevel="0" collapsed="false">
      <c r="A25" s="0" t="n">
        <v>24</v>
      </c>
      <c r="B25" s="0" t="s">
        <v>98</v>
      </c>
      <c r="C25" s="0" t="n">
        <v>50</v>
      </c>
      <c r="D25" s="0" t="n">
        <v>2</v>
      </c>
      <c r="E25" s="0" t="n">
        <v>2</v>
      </c>
      <c r="F25" s="0" t="n">
        <v>0</v>
      </c>
      <c r="G25" s="11" t="b">
        <f aca="false">FALSE()</f>
        <v>0</v>
      </c>
      <c r="H25" s="11" t="b">
        <f aca="false">FALSE()</f>
        <v>0</v>
      </c>
      <c r="I25" s="0" t="n">
        <v>0</v>
      </c>
      <c r="J25" s="0" t="n">
        <v>0.1</v>
      </c>
    </row>
    <row r="26" customFormat="false" ht="15" hidden="false" customHeight="false" outlineLevel="0" collapsed="false">
      <c r="A26" s="0" t="n">
        <v>25</v>
      </c>
      <c r="B26" s="0" t="s">
        <v>106</v>
      </c>
      <c r="C26" s="0" t="n">
        <v>50</v>
      </c>
      <c r="D26" s="0" t="n">
        <v>2</v>
      </c>
      <c r="E26" s="0" t="n">
        <v>2</v>
      </c>
      <c r="F26" s="0" t="n">
        <v>0</v>
      </c>
      <c r="G26" s="11" t="b">
        <f aca="false">FALSE()</f>
        <v>0</v>
      </c>
      <c r="H26" s="11" t="b">
        <f aca="false">FALSE()</f>
        <v>0</v>
      </c>
      <c r="I26" s="0" t="n">
        <v>0</v>
      </c>
      <c r="J26" s="0" t="n">
        <v>0.1</v>
      </c>
    </row>
    <row r="27" customFormat="false" ht="15" hidden="false" customHeight="false" outlineLevel="0" collapsed="false">
      <c r="A27" s="0" t="n">
        <v>26</v>
      </c>
      <c r="B27" s="0" t="s">
        <v>125</v>
      </c>
      <c r="C27" s="0" t="n">
        <v>10</v>
      </c>
      <c r="D27" s="0" t="n">
        <v>2</v>
      </c>
      <c r="E27" s="0" t="n">
        <v>2</v>
      </c>
      <c r="F27" s="0" t="n">
        <v>0</v>
      </c>
      <c r="G27" s="11" t="b">
        <f aca="false">FALSE()</f>
        <v>0</v>
      </c>
      <c r="H27" s="11" t="b">
        <f aca="false">FALSE()</f>
        <v>0</v>
      </c>
      <c r="I27" s="0" t="n">
        <v>0</v>
      </c>
      <c r="J27" s="0" t="n">
        <v>0.1</v>
      </c>
    </row>
    <row r="28" customFormat="false" ht="15" hidden="false" customHeight="false" outlineLevel="0" collapsed="false">
      <c r="A28" s="0" t="n">
        <v>27</v>
      </c>
      <c r="B28" s="0" t="s">
        <v>126</v>
      </c>
      <c r="C28" s="0" t="n">
        <v>100</v>
      </c>
      <c r="D28" s="0" t="n">
        <v>2</v>
      </c>
      <c r="E28" s="0" t="n">
        <v>2</v>
      </c>
      <c r="F28" s="0" t="n">
        <v>0</v>
      </c>
      <c r="G28" s="11" t="b">
        <f aca="false">FALSE()</f>
        <v>0</v>
      </c>
      <c r="H28" s="11" t="b">
        <f aca="false">FALSE()</f>
        <v>0</v>
      </c>
      <c r="I28" s="0" t="n">
        <v>0</v>
      </c>
      <c r="J28" s="0" t="n">
        <v>0.1</v>
      </c>
    </row>
    <row r="29" customFormat="false" ht="15" hidden="false" customHeight="false" outlineLevel="0" collapsed="false">
      <c r="A29" s="0" t="n">
        <v>28</v>
      </c>
      <c r="B29" s="0" t="s">
        <v>100</v>
      </c>
      <c r="C29" s="0" t="n">
        <v>10</v>
      </c>
      <c r="D29" s="0" t="n">
        <v>2</v>
      </c>
      <c r="E29" s="0" t="n">
        <v>2</v>
      </c>
      <c r="F29" s="0" t="n">
        <v>0</v>
      </c>
      <c r="G29" s="11" t="b">
        <f aca="false">FALSE()</f>
        <v>0</v>
      </c>
      <c r="H29" s="11" t="b">
        <f aca="false">FALSE()</f>
        <v>0</v>
      </c>
      <c r="I29" s="0" t="n">
        <v>0</v>
      </c>
      <c r="J29" s="0" t="n">
        <v>0.1</v>
      </c>
    </row>
    <row r="30" customFormat="false" ht="15" hidden="false" customHeight="false" outlineLevel="0" collapsed="false">
      <c r="A30" s="0" t="n">
        <v>29</v>
      </c>
      <c r="B30" s="0" t="s">
        <v>101</v>
      </c>
      <c r="C30" s="0" t="n">
        <v>10</v>
      </c>
      <c r="D30" s="0" t="n">
        <v>2</v>
      </c>
      <c r="E30" s="0" t="n">
        <v>2</v>
      </c>
      <c r="F30" s="0" t="n">
        <v>0</v>
      </c>
      <c r="G30" s="11" t="b">
        <f aca="false">FALSE()</f>
        <v>0</v>
      </c>
      <c r="H30" s="11" t="b">
        <f aca="false">FALSE()</f>
        <v>0</v>
      </c>
      <c r="I30" s="0" t="n">
        <v>0</v>
      </c>
      <c r="J30" s="0" t="n">
        <v>0.1</v>
      </c>
    </row>
    <row r="31" customFormat="false" ht="15" hidden="false" customHeight="false" outlineLevel="0" collapsed="false">
      <c r="A31" s="0" t="n">
        <v>30</v>
      </c>
      <c r="B31" s="0" t="s">
        <v>104</v>
      </c>
      <c r="C31" s="0" t="n">
        <v>50</v>
      </c>
      <c r="D31" s="0" t="n">
        <v>2</v>
      </c>
      <c r="E31" s="0" t="n">
        <v>2</v>
      </c>
      <c r="F31" s="0" t="n">
        <v>0</v>
      </c>
      <c r="G31" s="11" t="b">
        <f aca="false">FALSE()</f>
        <v>0</v>
      </c>
      <c r="H31" s="11" t="b">
        <f aca="false">FALSE()</f>
        <v>0</v>
      </c>
      <c r="I31" s="0" t="n">
        <v>0</v>
      </c>
      <c r="J31" s="0" t="n">
        <v>0.1</v>
      </c>
    </row>
    <row r="32" customFormat="false" ht="15" hidden="false" customHeight="false" outlineLevel="0" collapsed="false">
      <c r="A32" s="0" t="n">
        <v>31</v>
      </c>
      <c r="B32" s="0" t="s">
        <v>108</v>
      </c>
      <c r="C32" s="0" t="n">
        <v>10</v>
      </c>
      <c r="D32" s="0" t="n">
        <v>2</v>
      </c>
      <c r="E32" s="0" t="n">
        <v>2</v>
      </c>
      <c r="F32" s="0" t="n">
        <v>0</v>
      </c>
      <c r="G32" s="11" t="b">
        <f aca="false">FALSE()</f>
        <v>0</v>
      </c>
      <c r="H32" s="11" t="b">
        <f aca="false">FALSE()</f>
        <v>0</v>
      </c>
      <c r="I32" s="0" t="n">
        <v>0</v>
      </c>
      <c r="J32" s="0" t="n">
        <v>0.1</v>
      </c>
    </row>
    <row r="33" customFormat="false" ht="15" hidden="false" customHeight="false" outlineLevel="0" collapsed="false">
      <c r="A33" s="0" t="n">
        <v>32</v>
      </c>
      <c r="B33" s="0" t="s">
        <v>110</v>
      </c>
      <c r="C33" s="0" t="n">
        <v>10</v>
      </c>
      <c r="D33" s="0" t="n">
        <v>2</v>
      </c>
      <c r="E33" s="0" t="n">
        <v>2</v>
      </c>
      <c r="F33" s="0" t="n">
        <v>0</v>
      </c>
      <c r="G33" s="11" t="b">
        <f aca="false">FALSE()</f>
        <v>0</v>
      </c>
      <c r="H33" s="11" t="b">
        <f aca="false">FALSE()</f>
        <v>0</v>
      </c>
      <c r="I33" s="0" t="n">
        <v>0</v>
      </c>
      <c r="J33" s="0" t="n">
        <v>0.1</v>
      </c>
    </row>
    <row r="34" customFormat="false" ht="15" hidden="false" customHeight="false" outlineLevel="0" collapsed="false">
      <c r="A34" s="0" t="n">
        <v>33</v>
      </c>
      <c r="B34" s="0" t="s">
        <v>109</v>
      </c>
      <c r="C34" s="0" t="n">
        <v>25</v>
      </c>
      <c r="D34" s="0" t="n">
        <v>2</v>
      </c>
      <c r="E34" s="0" t="n">
        <v>2</v>
      </c>
      <c r="F34" s="0" t="n">
        <v>0</v>
      </c>
      <c r="G34" s="11" t="b">
        <f aca="false">FALSE()</f>
        <v>0</v>
      </c>
      <c r="H34" s="11" t="b">
        <f aca="false">FALSE()</f>
        <v>0</v>
      </c>
      <c r="I34" s="0" t="n">
        <v>0</v>
      </c>
      <c r="J34" s="0" t="n">
        <v>0.1</v>
      </c>
    </row>
    <row r="35" customFormat="false" ht="15" hidden="false" customHeight="false" outlineLevel="0" collapsed="false">
      <c r="A35" s="0" t="n">
        <v>34</v>
      </c>
      <c r="B35" s="0" t="s">
        <v>53</v>
      </c>
      <c r="C35" s="0" t="n">
        <v>50</v>
      </c>
      <c r="D35" s="0" t="n">
        <v>2</v>
      </c>
      <c r="E35" s="0" t="n">
        <v>2</v>
      </c>
      <c r="F35" s="0" t="n">
        <v>0</v>
      </c>
      <c r="G35" s="11" t="b">
        <f aca="false">FALSE()</f>
        <v>0</v>
      </c>
      <c r="H35" s="11" t="b">
        <f aca="false">FALSE()</f>
        <v>0</v>
      </c>
      <c r="I35" s="0" t="n">
        <v>0</v>
      </c>
      <c r="J35" s="0" t="n">
        <v>0.1</v>
      </c>
    </row>
    <row r="36" customFormat="false" ht="15" hidden="false" customHeight="false" outlineLevel="0" collapsed="false">
      <c r="A36" s="0" t="n">
        <v>35</v>
      </c>
      <c r="B36" s="0" t="s">
        <v>67</v>
      </c>
      <c r="C36" s="0" t="n">
        <v>50</v>
      </c>
      <c r="D36" s="0" t="n">
        <v>2</v>
      </c>
      <c r="E36" s="0" t="n">
        <v>2</v>
      </c>
      <c r="F36" s="0" t="n">
        <v>0</v>
      </c>
      <c r="G36" s="11" t="b">
        <f aca="false">FALSE()</f>
        <v>0</v>
      </c>
      <c r="H36" s="11" t="b">
        <f aca="false">FALSE()</f>
        <v>0</v>
      </c>
      <c r="I36" s="0" t="n">
        <v>0</v>
      </c>
      <c r="J36" s="0" t="n">
        <v>0.1</v>
      </c>
    </row>
    <row r="37" customFormat="false" ht="15" hidden="false" customHeight="false" outlineLevel="0" collapsed="false">
      <c r="A37" s="0" t="n">
        <v>36</v>
      </c>
      <c r="B37" s="0" t="s">
        <v>115</v>
      </c>
      <c r="C37" s="0" t="n">
        <v>10</v>
      </c>
      <c r="D37" s="0" t="n">
        <v>2</v>
      </c>
      <c r="E37" s="0" t="n">
        <v>2</v>
      </c>
      <c r="F37" s="0" t="n">
        <v>0</v>
      </c>
      <c r="G37" s="11" t="b">
        <f aca="false">FALSE()</f>
        <v>0</v>
      </c>
      <c r="H37" s="11" t="b">
        <f aca="false">FALSE()</f>
        <v>0</v>
      </c>
      <c r="I37" s="0" t="n">
        <v>0</v>
      </c>
      <c r="J37" s="0" t="n">
        <v>0.1</v>
      </c>
    </row>
    <row r="38" customFormat="false" ht="15" hidden="false" customHeight="false" outlineLevel="0" collapsed="false">
      <c r="A38" s="0" t="n">
        <v>37</v>
      </c>
      <c r="B38" s="0" t="s">
        <v>124</v>
      </c>
      <c r="C38" s="0" t="n">
        <v>100</v>
      </c>
      <c r="D38" s="0" t="n">
        <v>2</v>
      </c>
      <c r="E38" s="0" t="n">
        <v>2</v>
      </c>
      <c r="F38" s="0" t="n">
        <v>0</v>
      </c>
      <c r="G38" s="11" t="b">
        <f aca="false">FALSE()</f>
        <v>0</v>
      </c>
      <c r="H38" s="11" t="b">
        <f aca="false">FALSE()</f>
        <v>0</v>
      </c>
      <c r="I38" s="0" t="n">
        <v>0</v>
      </c>
      <c r="J38" s="0" t="n">
        <v>0.1</v>
      </c>
    </row>
    <row r="39" customFormat="false" ht="15" hidden="false" customHeight="false" outlineLevel="0" collapsed="false">
      <c r="A39" s="0" t="n">
        <v>38</v>
      </c>
      <c r="B39" s="0" t="s">
        <v>80</v>
      </c>
      <c r="C39" s="0" t="n">
        <v>100</v>
      </c>
      <c r="D39" s="0" t="n">
        <v>2</v>
      </c>
      <c r="E39" s="0" t="n">
        <v>2</v>
      </c>
      <c r="F39" s="0" t="n">
        <v>0</v>
      </c>
      <c r="G39" s="11" t="b">
        <f aca="false">FALSE()</f>
        <v>0</v>
      </c>
      <c r="H39" s="11" t="b">
        <f aca="false">FALSE()</f>
        <v>0</v>
      </c>
      <c r="I39" s="0" t="n">
        <v>0</v>
      </c>
      <c r="J39" s="0" t="n">
        <v>0.1</v>
      </c>
    </row>
    <row r="40" customFormat="false" ht="15" hidden="false" customHeight="false" outlineLevel="0" collapsed="false">
      <c r="A40" s="0" t="n">
        <v>39</v>
      </c>
      <c r="B40" s="0" t="s">
        <v>83</v>
      </c>
      <c r="C40" s="0" t="n">
        <v>50</v>
      </c>
      <c r="D40" s="0" t="n">
        <v>2</v>
      </c>
      <c r="E40" s="0" t="n">
        <v>2</v>
      </c>
      <c r="F40" s="0" t="n">
        <v>0</v>
      </c>
      <c r="G40" s="11" t="b">
        <f aca="false">FALSE()</f>
        <v>0</v>
      </c>
      <c r="H40" s="11" t="b">
        <f aca="false">FALSE()</f>
        <v>0</v>
      </c>
      <c r="I40" s="0" t="n">
        <v>0</v>
      </c>
      <c r="J40" s="0" t="n">
        <v>0.1</v>
      </c>
    </row>
    <row r="41" customFormat="false" ht="15" hidden="false" customHeight="false" outlineLevel="0" collapsed="false">
      <c r="A41" s="0" t="n">
        <v>40</v>
      </c>
      <c r="B41" s="0" t="s">
        <v>59</v>
      </c>
      <c r="C41" s="0" t="n">
        <v>500</v>
      </c>
      <c r="D41" s="0" t="n">
        <v>2</v>
      </c>
      <c r="E41" s="0" t="n">
        <v>2</v>
      </c>
      <c r="F41" s="0" t="n">
        <v>0</v>
      </c>
      <c r="G41" s="11" t="b">
        <f aca="false">FALSE()</f>
        <v>0</v>
      </c>
      <c r="H41" s="11" t="b">
        <f aca="false">FALSE()</f>
        <v>0</v>
      </c>
      <c r="I41" s="0" t="n">
        <v>0</v>
      </c>
      <c r="J41" s="0" t="n">
        <v>0.1</v>
      </c>
    </row>
    <row r="42" customFormat="false" ht="15" hidden="false" customHeight="false" outlineLevel="0" collapsed="false">
      <c r="A42" s="0" t="n">
        <v>41</v>
      </c>
      <c r="B42" s="0" t="s">
        <v>76</v>
      </c>
      <c r="C42" s="0" t="n">
        <v>100</v>
      </c>
      <c r="D42" s="0" t="n">
        <v>2</v>
      </c>
      <c r="E42" s="0" t="n">
        <v>2</v>
      </c>
      <c r="F42" s="0" t="n">
        <v>0</v>
      </c>
      <c r="G42" s="11" t="b">
        <f aca="false">FALSE()</f>
        <v>0</v>
      </c>
      <c r="H42" s="11" t="b">
        <f aca="false">FALSE()</f>
        <v>0</v>
      </c>
      <c r="I42" s="0" t="n">
        <v>0</v>
      </c>
      <c r="J42" s="0" t="n">
        <v>0.1</v>
      </c>
    </row>
    <row r="43" customFormat="false" ht="15" hidden="false" customHeight="false" outlineLevel="0" collapsed="false">
      <c r="A43" s="0" t="n">
        <v>42</v>
      </c>
      <c r="B43" s="0" t="s">
        <v>87</v>
      </c>
      <c r="C43" s="0" t="n">
        <v>100</v>
      </c>
      <c r="D43" s="0" t="n">
        <v>2</v>
      </c>
      <c r="E43" s="0" t="n">
        <v>2</v>
      </c>
      <c r="F43" s="0" t="n">
        <v>0</v>
      </c>
      <c r="G43" s="11" t="b">
        <f aca="false">FALSE()</f>
        <v>0</v>
      </c>
      <c r="H43" s="11" t="b">
        <f aca="false">FALSE()</f>
        <v>0</v>
      </c>
      <c r="I43" s="0" t="n">
        <v>0</v>
      </c>
      <c r="J43" s="0" t="n">
        <v>0.1</v>
      </c>
    </row>
    <row r="44" customFormat="false" ht="15" hidden="false" customHeight="false" outlineLevel="0" collapsed="false">
      <c r="A44" s="0" t="n">
        <v>43</v>
      </c>
      <c r="B44" s="0" t="s">
        <v>117</v>
      </c>
      <c r="C44" s="0" t="n">
        <v>50</v>
      </c>
      <c r="D44" s="0" t="n">
        <v>4</v>
      </c>
      <c r="E44" s="0" t="n">
        <v>1</v>
      </c>
      <c r="F44" s="0" t="n">
        <v>0</v>
      </c>
      <c r="G44" s="11" t="b">
        <f aca="false">FALSE()</f>
        <v>0</v>
      </c>
      <c r="H44" s="11" t="b">
        <f aca="false">FALSE()</f>
        <v>0</v>
      </c>
      <c r="I44" s="0" t="n">
        <v>0</v>
      </c>
      <c r="J44" s="0" t="n">
        <v>0.1</v>
      </c>
    </row>
    <row r="45" customFormat="false" ht="15" hidden="false" customHeight="false" outlineLevel="0" collapsed="false">
      <c r="A45" s="0" t="n">
        <v>44</v>
      </c>
      <c r="B45" s="0" t="s">
        <v>116</v>
      </c>
      <c r="C45" s="0" t="n">
        <v>10</v>
      </c>
      <c r="D45" s="0" t="n">
        <v>2</v>
      </c>
      <c r="E45" s="0" t="n">
        <v>2</v>
      </c>
      <c r="F45" s="0" t="n">
        <v>0</v>
      </c>
      <c r="G45" s="11" t="b">
        <f aca="false">FALSE()</f>
        <v>0</v>
      </c>
      <c r="H45" s="11" t="b">
        <f aca="false">FALSE()</f>
        <v>0</v>
      </c>
      <c r="I45" s="0" t="n">
        <v>0</v>
      </c>
      <c r="J45" s="0" t="n">
        <v>0.1</v>
      </c>
    </row>
    <row r="46" customFormat="false" ht="15" hidden="false" customHeight="false" outlineLevel="0" collapsed="false">
      <c r="A46" s="0" t="n">
        <v>45</v>
      </c>
      <c r="B46" s="0" t="s">
        <v>85</v>
      </c>
      <c r="C46" s="0" t="n">
        <v>10</v>
      </c>
      <c r="D46" s="0" t="n">
        <v>2</v>
      </c>
      <c r="E46" s="0" t="n">
        <v>2</v>
      </c>
      <c r="F46" s="0" t="n">
        <v>0</v>
      </c>
      <c r="G46" s="11" t="b">
        <f aca="false">FALSE()</f>
        <v>0</v>
      </c>
      <c r="H46" s="11" t="b">
        <f aca="false">FALSE()</f>
        <v>0</v>
      </c>
      <c r="I46" s="0" t="n">
        <v>0</v>
      </c>
      <c r="J46" s="0" t="n">
        <v>0.1</v>
      </c>
    </row>
    <row r="47" customFormat="false" ht="15" hidden="false" customHeight="false" outlineLevel="0" collapsed="false">
      <c r="A47" s="0" t="n">
        <v>46</v>
      </c>
      <c r="B47" s="0" t="s">
        <v>112</v>
      </c>
      <c r="C47" s="0" t="n">
        <v>10</v>
      </c>
      <c r="D47" s="0" t="n">
        <v>2</v>
      </c>
      <c r="E47" s="0" t="n">
        <v>2</v>
      </c>
      <c r="F47" s="0" t="n">
        <v>0</v>
      </c>
      <c r="G47" s="11" t="b">
        <f aca="false">FALSE()</f>
        <v>0</v>
      </c>
      <c r="H47" s="11" t="b">
        <f aca="false">FALSE()</f>
        <v>0</v>
      </c>
      <c r="I47" s="0" t="n">
        <v>0</v>
      </c>
      <c r="J47" s="0" t="n">
        <v>0.1</v>
      </c>
    </row>
    <row r="48" customFormat="false" ht="15" hidden="false" customHeight="false" outlineLevel="0" collapsed="false">
      <c r="A48" s="0" t="n">
        <v>47</v>
      </c>
      <c r="B48" s="0" t="s">
        <v>113</v>
      </c>
      <c r="C48" s="0" t="n">
        <v>10</v>
      </c>
      <c r="D48" s="0" t="n">
        <v>2</v>
      </c>
      <c r="E48" s="0" t="n">
        <v>2</v>
      </c>
      <c r="F48" s="0" t="n">
        <v>0</v>
      </c>
      <c r="G48" s="11" t="b">
        <f aca="false">FALSE()</f>
        <v>0</v>
      </c>
      <c r="H48" s="11" t="b">
        <f aca="false">FALSE()</f>
        <v>0</v>
      </c>
      <c r="I48" s="0" t="n">
        <v>0</v>
      </c>
      <c r="J48" s="0" t="n">
        <v>0.1</v>
      </c>
    </row>
    <row r="49" customFormat="false" ht="15" hidden="false" customHeight="false" outlineLevel="0" collapsed="false">
      <c r="A49" s="0" t="n">
        <v>48</v>
      </c>
      <c r="B49" s="0" t="s">
        <v>74</v>
      </c>
      <c r="C49" s="0" t="n">
        <v>10</v>
      </c>
      <c r="D49" s="0" t="n">
        <v>2</v>
      </c>
      <c r="E49" s="0" t="n">
        <v>2</v>
      </c>
      <c r="F49" s="0" t="n">
        <v>0</v>
      </c>
      <c r="G49" s="11" t="b">
        <f aca="false">FALSE()</f>
        <v>0</v>
      </c>
      <c r="H49" s="11" t="b">
        <f aca="false">FALSE()</f>
        <v>0</v>
      </c>
      <c r="I49" s="0" t="n">
        <v>0</v>
      </c>
      <c r="J49" s="0" t="n">
        <v>0.1</v>
      </c>
    </row>
    <row r="50" customFormat="false" ht="15" hidden="false" customHeight="false" outlineLevel="0" collapsed="false">
      <c r="A50" s="0" t="n">
        <v>49</v>
      </c>
      <c r="B50" s="0" t="s">
        <v>114</v>
      </c>
      <c r="C50" s="0" t="n">
        <v>25</v>
      </c>
      <c r="D50" s="0" t="n">
        <v>2</v>
      </c>
      <c r="E50" s="0" t="n">
        <v>2</v>
      </c>
      <c r="F50" s="0" t="n">
        <v>0</v>
      </c>
      <c r="G50" s="11" t="b">
        <f aca="false">FALSE()</f>
        <v>0</v>
      </c>
      <c r="H50" s="11" t="b">
        <f aca="false">FALSE()</f>
        <v>0</v>
      </c>
      <c r="I50" s="0" t="n">
        <v>0</v>
      </c>
      <c r="J50" s="0" t="n">
        <v>0.1</v>
      </c>
    </row>
    <row r="51" customFormat="false" ht="15" hidden="false" customHeight="false" outlineLevel="0" collapsed="false">
      <c r="A51" s="0" t="n">
        <v>50</v>
      </c>
      <c r="B51" s="0" t="s">
        <v>78</v>
      </c>
      <c r="C51" s="0" t="n">
        <v>10</v>
      </c>
      <c r="D51" s="0" t="n">
        <v>2</v>
      </c>
      <c r="E51" s="0" t="n">
        <v>2</v>
      </c>
      <c r="F51" s="0" t="n">
        <v>0</v>
      </c>
      <c r="G51" s="11" t="b">
        <f aca="false">FALSE()</f>
        <v>0</v>
      </c>
      <c r="H51" s="11" t="b">
        <f aca="false">FALSE()</f>
        <v>0</v>
      </c>
      <c r="I51" s="0" t="n">
        <v>0</v>
      </c>
      <c r="J51" s="0" t="n">
        <v>0.1</v>
      </c>
    </row>
    <row r="52" customFormat="false" ht="15" hidden="false" customHeight="false" outlineLevel="0" collapsed="false">
      <c r="A52" s="0" t="n">
        <v>51</v>
      </c>
      <c r="B52" s="0" t="s">
        <v>64</v>
      </c>
      <c r="C52" s="10" t="n">
        <v>10</v>
      </c>
      <c r="D52" s="0" t="n">
        <v>2</v>
      </c>
      <c r="E52" s="0" t="n">
        <v>2</v>
      </c>
      <c r="F52" s="0" t="n">
        <v>0</v>
      </c>
      <c r="G52" s="11" t="b">
        <f aca="false">FALSE()</f>
        <v>0</v>
      </c>
      <c r="H52" s="11" t="b">
        <f aca="false">FALSE()</f>
        <v>0</v>
      </c>
      <c r="I52" s="0" t="n">
        <v>0</v>
      </c>
      <c r="J52" s="0" t="n">
        <v>0.1</v>
      </c>
    </row>
    <row r="53" customFormat="false" ht="15" hidden="false" customHeight="false" outlineLevel="0" collapsed="false">
      <c r="A53" s="0" t="n">
        <v>52</v>
      </c>
      <c r="B53" s="0" t="s">
        <v>38</v>
      </c>
      <c r="C53" s="0" t="n">
        <v>300</v>
      </c>
      <c r="D53" s="0" t="n">
        <v>2</v>
      </c>
      <c r="E53" s="0" t="n">
        <v>2</v>
      </c>
      <c r="F53" s="0" t="n">
        <v>0</v>
      </c>
      <c r="G53" s="11" t="b">
        <f aca="false">FALSE()</f>
        <v>0</v>
      </c>
      <c r="H53" s="11" t="b">
        <f aca="false">FALSE()</f>
        <v>0</v>
      </c>
      <c r="I53" s="0" t="n">
        <v>0</v>
      </c>
      <c r="J53" s="0" t="n">
        <v>0.1</v>
      </c>
    </row>
    <row r="54" customFormat="false" ht="15" hidden="false" customHeight="false" outlineLevel="0" collapsed="false">
      <c r="A54" s="0" t="n">
        <v>53</v>
      </c>
      <c r="B54" s="0" t="s">
        <v>46</v>
      </c>
      <c r="C54" s="0" t="n">
        <v>300</v>
      </c>
      <c r="D54" s="0" t="n">
        <v>2</v>
      </c>
      <c r="E54" s="0" t="n">
        <v>2</v>
      </c>
      <c r="F54" s="0" t="n">
        <v>0</v>
      </c>
      <c r="G54" s="11" t="b">
        <f aca="false">FALSE()</f>
        <v>0</v>
      </c>
      <c r="H54" s="11" t="b">
        <f aca="false">FALSE()</f>
        <v>0</v>
      </c>
      <c r="I54" s="0" t="n">
        <v>0</v>
      </c>
      <c r="J54" s="0" t="n">
        <v>0.1</v>
      </c>
    </row>
    <row r="55" customFormat="false" ht="15" hidden="false" customHeight="false" outlineLevel="0" collapsed="false">
      <c r="A55" s="0" t="n">
        <v>54</v>
      </c>
      <c r="B55" s="0" t="s">
        <v>51</v>
      </c>
      <c r="C55" s="0" t="n">
        <v>300</v>
      </c>
      <c r="D55" s="0" t="n">
        <v>2</v>
      </c>
      <c r="E55" s="0" t="n">
        <v>2</v>
      </c>
      <c r="F55" s="0" t="n">
        <v>0</v>
      </c>
      <c r="G55" s="11" t="b">
        <f aca="false">FALSE()</f>
        <v>0</v>
      </c>
      <c r="H55" s="11" t="b">
        <f aca="false">FALSE()</f>
        <v>0</v>
      </c>
      <c r="I55" s="0" t="n">
        <v>0</v>
      </c>
      <c r="J55" s="0" t="n">
        <v>0.1</v>
      </c>
    </row>
    <row r="56" customFormat="false" ht="15" hidden="false" customHeight="false" outlineLevel="0" collapsed="false">
      <c r="A56" s="0" t="n">
        <v>55</v>
      </c>
      <c r="B56" s="0" t="s">
        <v>47</v>
      </c>
      <c r="C56" s="0" t="n">
        <v>300</v>
      </c>
      <c r="D56" s="0" t="n">
        <v>2</v>
      </c>
      <c r="E56" s="0" t="n">
        <v>2</v>
      </c>
      <c r="F56" s="0" t="n">
        <v>0</v>
      </c>
      <c r="G56" s="11" t="b">
        <f aca="false">FALSE()</f>
        <v>0</v>
      </c>
      <c r="H56" s="11" t="b">
        <f aca="false">FALSE()</f>
        <v>0</v>
      </c>
      <c r="I56" s="0" t="n">
        <v>0</v>
      </c>
      <c r="J56" s="0" t="n">
        <v>0.1</v>
      </c>
    </row>
    <row r="57" customFormat="false" ht="15" hidden="false" customHeight="false" outlineLevel="0" collapsed="false">
      <c r="A57" s="0" t="n">
        <v>56</v>
      </c>
      <c r="B57" s="0" t="s">
        <v>48</v>
      </c>
      <c r="C57" s="0" t="n">
        <v>300</v>
      </c>
      <c r="D57" s="0" t="n">
        <v>2</v>
      </c>
      <c r="E57" s="0" t="n">
        <v>2</v>
      </c>
      <c r="F57" s="0" t="n">
        <v>0</v>
      </c>
      <c r="G57" s="11" t="b">
        <f aca="false">FALSE()</f>
        <v>0</v>
      </c>
      <c r="H57" s="11" t="b">
        <f aca="false">FALSE()</f>
        <v>0</v>
      </c>
      <c r="I57" s="0" t="n">
        <v>0</v>
      </c>
      <c r="J57" s="0" t="n">
        <v>0.1</v>
      </c>
    </row>
    <row r="58" customFormat="false" ht="15" hidden="false" customHeight="false" outlineLevel="0" collapsed="false">
      <c r="A58" s="0" t="n">
        <v>57</v>
      </c>
      <c r="B58" s="0" t="s">
        <v>50</v>
      </c>
      <c r="C58" s="0" t="n">
        <v>300</v>
      </c>
      <c r="D58" s="0" t="n">
        <v>2</v>
      </c>
      <c r="E58" s="0" t="n">
        <v>2</v>
      </c>
      <c r="F58" s="0" t="n">
        <v>0</v>
      </c>
      <c r="G58" s="11" t="b">
        <f aca="false">FALSE()</f>
        <v>0</v>
      </c>
      <c r="H58" s="11" t="b">
        <f aca="false">FALSE()</f>
        <v>0</v>
      </c>
      <c r="I58" s="0" t="n">
        <v>0</v>
      </c>
      <c r="J58" s="0" t="n">
        <v>0.1</v>
      </c>
    </row>
    <row r="59" customFormat="false" ht="15" hidden="false" customHeight="false" outlineLevel="0" collapsed="false">
      <c r="A59" s="0" t="n">
        <v>58</v>
      </c>
      <c r="B59" s="0" t="s">
        <v>61</v>
      </c>
      <c r="C59" s="10" t="n">
        <v>1</v>
      </c>
      <c r="D59" s="0" t="n">
        <v>2</v>
      </c>
      <c r="E59" s="0" t="n">
        <v>2</v>
      </c>
      <c r="F59" s="0" t="n">
        <v>0</v>
      </c>
      <c r="G59" s="11" t="b">
        <f aca="false">FALSE()</f>
        <v>0</v>
      </c>
      <c r="H59" s="11" t="b">
        <f aca="false">FALSE()</f>
        <v>0</v>
      </c>
      <c r="I59" s="0" t="n">
        <v>0</v>
      </c>
      <c r="J59" s="0" t="n">
        <v>0.1</v>
      </c>
    </row>
    <row r="60" customFormat="false" ht="15" hidden="false" customHeight="false" outlineLevel="0" collapsed="false">
      <c r="A60" s="0" t="n">
        <v>59</v>
      </c>
      <c r="B60" s="0" t="s">
        <v>69</v>
      </c>
      <c r="C60" s="0" t="n">
        <v>10</v>
      </c>
      <c r="D60" s="0" t="n">
        <v>2</v>
      </c>
      <c r="E60" s="0" t="n">
        <v>2</v>
      </c>
      <c r="F60" s="0" t="n">
        <v>0</v>
      </c>
      <c r="G60" s="11" t="b">
        <f aca="false">FALSE()</f>
        <v>0</v>
      </c>
      <c r="H60" s="11" t="b">
        <f aca="false">FALSE()</f>
        <v>0</v>
      </c>
      <c r="I60" s="0" t="n">
        <v>0</v>
      </c>
      <c r="J60" s="0" t="n">
        <v>0.1</v>
      </c>
    </row>
    <row r="61" customFormat="false" ht="15" hidden="false" customHeight="false" outlineLevel="0" collapsed="false">
      <c r="A61" s="0" t="n">
        <v>60</v>
      </c>
      <c r="B61" s="0" t="s">
        <v>72</v>
      </c>
      <c r="C61" s="0" t="n">
        <v>10</v>
      </c>
      <c r="D61" s="0" t="n">
        <v>2</v>
      </c>
      <c r="E61" s="0" t="n">
        <v>2</v>
      </c>
      <c r="F61" s="0" t="n">
        <v>0</v>
      </c>
      <c r="G61" s="11" t="b">
        <f aca="false">FALSE()</f>
        <v>0</v>
      </c>
      <c r="H61" s="11" t="b">
        <f aca="false">FALSE()</f>
        <v>0</v>
      </c>
      <c r="I61" s="0" t="n">
        <v>0</v>
      </c>
      <c r="J61" s="0" t="n">
        <v>0.1</v>
      </c>
    </row>
    <row r="62" customFormat="false" ht="15" hidden="false" customHeight="false" outlineLevel="0" collapsed="false">
      <c r="A62" s="0" t="n">
        <v>61</v>
      </c>
      <c r="B62" s="0" t="s">
        <v>52</v>
      </c>
      <c r="C62" s="0" t="n">
        <v>300</v>
      </c>
      <c r="D62" s="0" t="n">
        <v>2</v>
      </c>
      <c r="E62" s="0" t="n">
        <v>2</v>
      </c>
      <c r="F62" s="0" t="n">
        <v>0</v>
      </c>
      <c r="G62" s="11" t="b">
        <f aca="false">FALSE()</f>
        <v>0</v>
      </c>
      <c r="H62" s="11" t="b">
        <f aca="false">FALSE()</f>
        <v>0</v>
      </c>
      <c r="I62" s="0" t="n">
        <v>0</v>
      </c>
      <c r="J62" s="0" t="n">
        <v>0.1</v>
      </c>
    </row>
    <row r="63" customFormat="false" ht="15" hidden="false" customHeight="false" outlineLevel="0" collapsed="false">
      <c r="A63" s="0" t="n">
        <v>62</v>
      </c>
      <c r="B63" s="0" t="s">
        <v>55</v>
      </c>
      <c r="C63" s="0" t="n">
        <v>5</v>
      </c>
      <c r="D63" s="0" t="n">
        <v>2</v>
      </c>
      <c r="E63" s="0" t="n">
        <v>2</v>
      </c>
      <c r="F63" s="0" t="n">
        <v>0</v>
      </c>
      <c r="G63" s="11" t="b">
        <f aca="false">FALSE()</f>
        <v>0</v>
      </c>
      <c r="H63" s="11" t="b">
        <f aca="false">FALSE()</f>
        <v>0</v>
      </c>
      <c r="I63" s="0" t="n">
        <v>0</v>
      </c>
      <c r="J63" s="0" t="n">
        <v>0.1</v>
      </c>
    </row>
    <row r="64" customFormat="false" ht="15" hidden="false" customHeight="false" outlineLevel="0" collapsed="false">
      <c r="A64" s="0" t="n">
        <v>63</v>
      </c>
      <c r="B64" s="0" t="s">
        <v>60</v>
      </c>
      <c r="C64" s="0" t="n">
        <v>300</v>
      </c>
      <c r="D64" s="0" t="n">
        <v>2</v>
      </c>
      <c r="E64" s="0" t="n">
        <v>2</v>
      </c>
      <c r="F64" s="0" t="n">
        <v>0</v>
      </c>
      <c r="G64" s="11" t="b">
        <f aca="false">FALSE()</f>
        <v>0</v>
      </c>
      <c r="H64" s="11" t="b">
        <f aca="false">FALSE()</f>
        <v>0</v>
      </c>
      <c r="I64" s="0" t="n">
        <v>0</v>
      </c>
      <c r="J64" s="0" t="n">
        <v>0.1</v>
      </c>
    </row>
    <row r="65" customFormat="false" ht="15" hidden="false" customHeight="false" outlineLevel="0" collapsed="false">
      <c r="A65" s="0" t="n">
        <v>64</v>
      </c>
      <c r="B65" s="0" t="s">
        <v>57</v>
      </c>
      <c r="C65" s="0" t="n">
        <v>1</v>
      </c>
      <c r="D65" s="0" t="n">
        <v>2</v>
      </c>
      <c r="E65" s="0" t="n">
        <v>2</v>
      </c>
      <c r="F65" s="0" t="n">
        <v>0</v>
      </c>
      <c r="G65" s="11" t="b">
        <f aca="false">FALSE()</f>
        <v>0</v>
      </c>
      <c r="H65" s="11" t="b">
        <f aca="false">FALSE()</f>
        <v>0</v>
      </c>
      <c r="I65" s="0" t="n">
        <v>0</v>
      </c>
      <c r="J65" s="0" t="n">
        <v>0.1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sheetData>
    <row r="1" customFormat="false" ht="15" hidden="false" customHeight="false" outlineLevel="0" collapsed="false">
      <c r="A1" s="0" t="s">
        <v>137</v>
      </c>
      <c r="B1" s="0" t="s">
        <v>137</v>
      </c>
      <c r="C1" s="0" t="s">
        <v>39</v>
      </c>
      <c r="D1" s="0" t="s">
        <v>41</v>
      </c>
      <c r="E1" s="0" t="s">
        <v>42</v>
      </c>
      <c r="F1" s="0" t="s">
        <v>43</v>
      </c>
      <c r="G1" s="0" t="s">
        <v>44</v>
      </c>
      <c r="H1" s="0" t="s">
        <v>45</v>
      </c>
    </row>
    <row r="2" customFormat="false" ht="15" hidden="false" customHeight="false" outlineLevel="0" collapsed="false">
      <c r="A2" s="0" t="n">
        <v>1</v>
      </c>
      <c r="B2" s="0" t="s">
        <v>32</v>
      </c>
      <c r="C2" s="10" t="n">
        <v>1</v>
      </c>
      <c r="D2" s="10" t="n">
        <v>0</v>
      </c>
      <c r="E2" s="10" t="n">
        <v>0</v>
      </c>
      <c r="F2" s="10" t="n">
        <v>0</v>
      </c>
      <c r="G2" s="10" t="n">
        <v>0</v>
      </c>
      <c r="H2" s="10" t="n">
        <v>0</v>
      </c>
    </row>
    <row r="3" customFormat="false" ht="15" hidden="false" customHeight="false" outlineLevel="0" collapsed="false">
      <c r="A3" s="0" t="n">
        <v>2</v>
      </c>
      <c r="B3" s="0" t="s">
        <v>103</v>
      </c>
      <c r="C3" s="0" t="n">
        <v>0</v>
      </c>
      <c r="D3" s="0" t="n">
        <v>1</v>
      </c>
      <c r="E3" s="0" t="n">
        <v>0.3</v>
      </c>
      <c r="F3" s="0" t="n">
        <v>0.4</v>
      </c>
      <c r="G3" s="0" t="n">
        <v>0.3</v>
      </c>
      <c r="H3" s="0" t="n">
        <v>0.4</v>
      </c>
    </row>
    <row r="4" customFormat="false" ht="15" hidden="false" customHeight="false" outlineLevel="0" collapsed="false">
      <c r="A4" s="0" t="n">
        <v>3</v>
      </c>
      <c r="B4" s="0" t="s">
        <v>89</v>
      </c>
      <c r="C4" s="0" t="n">
        <v>0</v>
      </c>
      <c r="D4" s="10" t="n">
        <v>0.3</v>
      </c>
      <c r="E4" s="0" t="n">
        <v>0.3</v>
      </c>
      <c r="F4" s="0" t="n">
        <v>0.2</v>
      </c>
      <c r="G4" s="0" t="n">
        <v>0.5</v>
      </c>
      <c r="H4" s="0" t="n">
        <v>0.7</v>
      </c>
    </row>
    <row r="5" customFormat="false" ht="15" hidden="false" customHeight="false" outlineLevel="0" collapsed="false">
      <c r="A5" s="0" t="n">
        <v>4</v>
      </c>
      <c r="B5" s="0" t="s">
        <v>49</v>
      </c>
      <c r="C5" s="10" t="n">
        <v>1</v>
      </c>
      <c r="D5" s="10" t="n">
        <v>0</v>
      </c>
      <c r="E5" s="10" t="n">
        <v>0</v>
      </c>
      <c r="F5" s="10" t="n">
        <v>0</v>
      </c>
      <c r="G5" s="10" t="n">
        <v>0</v>
      </c>
      <c r="H5" s="10" t="n">
        <v>0</v>
      </c>
    </row>
    <row r="6" customFormat="false" ht="15" hidden="false" customHeight="false" outlineLevel="0" collapsed="false">
      <c r="A6" s="0" t="n">
        <v>5</v>
      </c>
      <c r="B6" s="0" t="s">
        <v>96</v>
      </c>
      <c r="C6" s="0" t="n">
        <v>0</v>
      </c>
      <c r="D6" s="0" t="n">
        <v>1</v>
      </c>
      <c r="E6" s="0" t="n">
        <v>0.4</v>
      </c>
      <c r="F6" s="0" t="n">
        <v>0.7</v>
      </c>
      <c r="G6" s="0" t="n">
        <v>0.1</v>
      </c>
      <c r="H6" s="0" t="n">
        <v>0.2</v>
      </c>
    </row>
    <row r="7" customFormat="false" ht="15" hidden="false" customHeight="false" outlineLevel="0" collapsed="false">
      <c r="A7" s="0" t="n">
        <v>6</v>
      </c>
      <c r="B7" s="0" t="s">
        <v>58</v>
      </c>
      <c r="C7" s="10" t="n">
        <v>1</v>
      </c>
      <c r="D7" s="10" t="n">
        <v>0</v>
      </c>
      <c r="E7" s="10" t="n">
        <v>0</v>
      </c>
      <c r="F7" s="10" t="n">
        <v>0</v>
      </c>
      <c r="G7" s="10" t="n">
        <v>0</v>
      </c>
      <c r="H7" s="10" t="n">
        <v>0</v>
      </c>
    </row>
    <row r="8" customFormat="false" ht="15" hidden="false" customHeight="false" outlineLevel="0" collapsed="false">
      <c r="A8" s="0" t="n">
        <v>7</v>
      </c>
      <c r="B8" s="0" t="s">
        <v>118</v>
      </c>
      <c r="C8" s="0" t="n">
        <v>0</v>
      </c>
      <c r="D8" s="0" t="n">
        <v>1</v>
      </c>
      <c r="E8" s="0" t="n">
        <v>0.5</v>
      </c>
      <c r="F8" s="0" t="n">
        <v>0.8</v>
      </c>
      <c r="G8" s="0" t="n">
        <v>0.1</v>
      </c>
      <c r="H8" s="0" t="n">
        <v>0.2</v>
      </c>
    </row>
    <row r="9" customFormat="false" ht="15" hidden="false" customHeight="false" outlineLevel="0" collapsed="false">
      <c r="A9" s="0" t="n">
        <v>8</v>
      </c>
      <c r="B9" s="0" t="s">
        <v>26</v>
      </c>
      <c r="C9" s="0" t="n">
        <v>0</v>
      </c>
      <c r="D9" s="0" t="n">
        <v>1</v>
      </c>
      <c r="E9" s="0" t="n">
        <v>0.6</v>
      </c>
      <c r="F9" s="0" t="n">
        <v>0.9</v>
      </c>
      <c r="G9" s="0" t="n">
        <v>0.1</v>
      </c>
      <c r="H9" s="0" t="n">
        <v>0.2</v>
      </c>
    </row>
    <row r="10" customFormat="false" ht="15" hidden="false" customHeight="false" outlineLevel="0" collapsed="false">
      <c r="A10" s="0" t="n">
        <v>9</v>
      </c>
      <c r="B10" s="0" t="s">
        <v>30</v>
      </c>
      <c r="C10" s="0" t="n">
        <v>0</v>
      </c>
      <c r="D10" s="0" t="n">
        <v>1</v>
      </c>
      <c r="E10" s="0" t="n">
        <v>0.4</v>
      </c>
      <c r="F10" s="0" t="n">
        <v>0.7</v>
      </c>
      <c r="G10" s="0" t="n">
        <v>0.2</v>
      </c>
      <c r="H10" s="0" t="n">
        <v>0.4</v>
      </c>
    </row>
    <row r="11" customFormat="false" ht="15" hidden="false" customHeight="false" outlineLevel="0" collapsed="false">
      <c r="A11" s="0" t="n">
        <v>10</v>
      </c>
      <c r="B11" s="0" t="s">
        <v>97</v>
      </c>
      <c r="C11" s="0" t="n">
        <v>0</v>
      </c>
      <c r="D11" s="0" t="n">
        <v>1</v>
      </c>
      <c r="E11" s="0" t="n">
        <v>0.5</v>
      </c>
      <c r="F11" s="0" t="n">
        <v>0.8</v>
      </c>
      <c r="G11" s="0" t="n">
        <v>0.1</v>
      </c>
      <c r="H11" s="0" t="n">
        <v>0.3</v>
      </c>
    </row>
    <row r="12" customFormat="false" ht="15" hidden="false" customHeight="false" outlineLevel="0" collapsed="false">
      <c r="A12" s="0" t="n">
        <v>11</v>
      </c>
      <c r="B12" s="0" t="s">
        <v>34</v>
      </c>
      <c r="C12" s="0" t="n">
        <v>0</v>
      </c>
      <c r="D12" s="0" t="n">
        <v>1</v>
      </c>
      <c r="E12" s="0" t="n">
        <v>0.6</v>
      </c>
      <c r="F12" s="0" t="n">
        <v>0.9</v>
      </c>
      <c r="G12" s="0" t="n">
        <v>0.1</v>
      </c>
      <c r="H12" s="0" t="n">
        <v>0.2</v>
      </c>
    </row>
    <row r="13" customFormat="false" ht="15" hidden="false" customHeight="false" outlineLevel="0" collapsed="false">
      <c r="A13" s="0" t="n">
        <v>12</v>
      </c>
      <c r="B13" s="0" t="s">
        <v>35</v>
      </c>
      <c r="C13" s="0" t="n">
        <v>0</v>
      </c>
      <c r="D13" s="0" t="n">
        <v>1</v>
      </c>
      <c r="E13" s="0" t="n">
        <v>0.6</v>
      </c>
      <c r="F13" s="0" t="n">
        <v>0.8</v>
      </c>
      <c r="G13" s="0" t="n">
        <v>0.3</v>
      </c>
      <c r="H13" s="0" t="n">
        <v>0.4</v>
      </c>
    </row>
    <row r="14" customFormat="false" ht="15" hidden="false" customHeight="false" outlineLevel="0" collapsed="false">
      <c r="A14" s="0" t="n">
        <v>13</v>
      </c>
      <c r="B14" s="0" t="s">
        <v>99</v>
      </c>
      <c r="C14" s="0" t="n">
        <v>0</v>
      </c>
      <c r="D14" s="0" t="n">
        <v>1</v>
      </c>
      <c r="E14" s="0" t="n">
        <v>0.4</v>
      </c>
      <c r="F14" s="0" t="n">
        <v>0.6</v>
      </c>
      <c r="G14" s="0" t="n">
        <v>0.3</v>
      </c>
      <c r="H14" s="0" t="n">
        <v>0.4</v>
      </c>
    </row>
    <row r="15" customFormat="false" ht="15" hidden="false" customHeight="false" outlineLevel="0" collapsed="false">
      <c r="A15" s="0" t="n">
        <v>14</v>
      </c>
      <c r="B15" s="0" t="s">
        <v>36</v>
      </c>
      <c r="C15" s="0" t="n">
        <v>0</v>
      </c>
      <c r="D15" s="10" t="n">
        <v>0.6</v>
      </c>
      <c r="E15" s="0" t="n">
        <v>0.5</v>
      </c>
      <c r="F15" s="0" t="n">
        <v>0.7</v>
      </c>
      <c r="G15" s="10" t="n">
        <v>0.5</v>
      </c>
      <c r="H15" s="10" t="n">
        <v>0.6</v>
      </c>
    </row>
    <row r="16" customFormat="false" ht="15" hidden="false" customHeight="false" outlineLevel="0" collapsed="false">
      <c r="A16" s="0" t="n">
        <v>15</v>
      </c>
      <c r="B16" s="0" t="s">
        <v>105</v>
      </c>
      <c r="C16" s="0" t="n">
        <v>0</v>
      </c>
      <c r="D16" s="0" t="n">
        <v>1</v>
      </c>
      <c r="E16" s="0" t="n">
        <v>0.6</v>
      </c>
      <c r="F16" s="0" t="n">
        <v>0.8</v>
      </c>
      <c r="G16" s="0" t="n">
        <v>0.3</v>
      </c>
      <c r="H16" s="0" t="n">
        <v>0.4</v>
      </c>
    </row>
    <row r="17" customFormat="false" ht="15" hidden="false" customHeight="false" outlineLevel="0" collapsed="false">
      <c r="A17" s="0" t="n">
        <v>16</v>
      </c>
      <c r="B17" s="0" t="s">
        <v>119</v>
      </c>
      <c r="C17" s="0" t="n">
        <v>0</v>
      </c>
      <c r="D17" s="0" t="n">
        <v>1</v>
      </c>
      <c r="E17" s="0" t="n">
        <v>0.5</v>
      </c>
      <c r="F17" s="0" t="n">
        <v>0.7</v>
      </c>
      <c r="G17" s="0" t="n">
        <v>0.3</v>
      </c>
      <c r="H17" s="0" t="n">
        <v>0.5</v>
      </c>
    </row>
    <row r="18" customFormat="false" ht="15" hidden="false" customHeight="false" outlineLevel="0" collapsed="false">
      <c r="A18" s="0" t="n">
        <v>17</v>
      </c>
      <c r="B18" s="0" t="s">
        <v>123</v>
      </c>
      <c r="C18" s="0" t="n">
        <v>0</v>
      </c>
      <c r="D18" s="0" t="n">
        <v>1</v>
      </c>
      <c r="E18" s="0" t="n">
        <v>0.4</v>
      </c>
      <c r="F18" s="0" t="n">
        <v>0.6</v>
      </c>
      <c r="G18" s="0" t="n">
        <v>0.4</v>
      </c>
      <c r="H18" s="0" t="n">
        <v>0.6</v>
      </c>
    </row>
    <row r="19" customFormat="false" ht="15" hidden="false" customHeight="false" outlineLevel="0" collapsed="false">
      <c r="A19" s="0" t="n">
        <v>18</v>
      </c>
      <c r="B19" s="0" t="s">
        <v>102</v>
      </c>
      <c r="C19" s="0" t="n">
        <v>0</v>
      </c>
      <c r="D19" s="0" t="n">
        <v>1</v>
      </c>
      <c r="E19" s="0" t="n">
        <v>0.5</v>
      </c>
      <c r="F19" s="0" t="n">
        <v>0.7</v>
      </c>
      <c r="G19" s="0" t="n">
        <v>0.3</v>
      </c>
      <c r="H19" s="0" t="n">
        <v>0.5</v>
      </c>
    </row>
    <row r="20" customFormat="false" ht="15" hidden="false" customHeight="false" outlineLevel="0" collapsed="false">
      <c r="A20" s="0" t="n">
        <v>19</v>
      </c>
      <c r="B20" s="0" t="s">
        <v>120</v>
      </c>
      <c r="C20" s="0" t="n">
        <v>0</v>
      </c>
      <c r="D20" s="0" t="n">
        <v>1</v>
      </c>
      <c r="E20" s="0" t="n">
        <v>0.4</v>
      </c>
      <c r="F20" s="0" t="n">
        <v>0.7</v>
      </c>
      <c r="G20" s="0" t="n">
        <v>0.3</v>
      </c>
      <c r="H20" s="0" t="n">
        <v>0.4</v>
      </c>
    </row>
    <row r="21" customFormat="false" ht="15" hidden="false" customHeight="false" outlineLevel="0" collapsed="false">
      <c r="A21" s="0" t="n">
        <v>20</v>
      </c>
      <c r="B21" s="0" t="s">
        <v>121</v>
      </c>
      <c r="C21" s="0" t="n">
        <v>0</v>
      </c>
      <c r="D21" s="0" t="n">
        <v>1</v>
      </c>
      <c r="E21" s="0" t="n">
        <v>0.4</v>
      </c>
      <c r="F21" s="0" t="n">
        <v>0.6</v>
      </c>
      <c r="G21" s="0" t="n">
        <v>0.3</v>
      </c>
      <c r="H21" s="0" t="n">
        <v>0.5</v>
      </c>
    </row>
    <row r="22" customFormat="false" ht="15" hidden="false" customHeight="false" outlineLevel="0" collapsed="false">
      <c r="A22" s="0" t="n">
        <v>21</v>
      </c>
      <c r="B22" s="0" t="s">
        <v>111</v>
      </c>
      <c r="C22" s="0" t="n">
        <v>0</v>
      </c>
      <c r="D22" s="0" t="n">
        <v>1</v>
      </c>
      <c r="E22" s="0" t="n">
        <v>0.5</v>
      </c>
      <c r="F22" s="0" t="n">
        <v>0.7</v>
      </c>
      <c r="G22" s="0" t="n">
        <v>0.1</v>
      </c>
      <c r="H22" s="0" t="n">
        <v>0.3</v>
      </c>
    </row>
    <row r="23" customFormat="false" ht="15" hidden="false" customHeight="false" outlineLevel="0" collapsed="false">
      <c r="A23" s="0" t="n">
        <v>22</v>
      </c>
      <c r="B23" s="0" t="s">
        <v>107</v>
      </c>
      <c r="C23" s="0" t="n">
        <v>0</v>
      </c>
      <c r="D23" s="0" t="n">
        <v>1</v>
      </c>
      <c r="E23" s="0" t="n">
        <v>0.5</v>
      </c>
      <c r="F23" s="0" t="n">
        <v>0.7</v>
      </c>
      <c r="G23" s="0" t="n">
        <v>0.2</v>
      </c>
      <c r="H23" s="0" t="n">
        <v>0.3</v>
      </c>
    </row>
    <row r="24" customFormat="false" ht="15" hidden="false" customHeight="false" outlineLevel="0" collapsed="false">
      <c r="A24" s="0" t="n">
        <v>23</v>
      </c>
      <c r="B24" s="0" t="s">
        <v>122</v>
      </c>
      <c r="C24" s="0" t="n">
        <v>0</v>
      </c>
      <c r="D24" s="0" t="n">
        <v>1</v>
      </c>
      <c r="E24" s="0" t="n">
        <v>0.5</v>
      </c>
      <c r="F24" s="0" t="n">
        <v>0.8</v>
      </c>
      <c r="G24" s="0" t="n">
        <v>0.1</v>
      </c>
      <c r="H24" s="0" t="n">
        <v>0.2</v>
      </c>
    </row>
    <row r="25" customFormat="false" ht="15" hidden="false" customHeight="false" outlineLevel="0" collapsed="false">
      <c r="A25" s="0" t="n">
        <v>24</v>
      </c>
      <c r="B25" s="0" t="s">
        <v>98</v>
      </c>
      <c r="C25" s="0" t="n">
        <v>0</v>
      </c>
      <c r="D25" s="0" t="n">
        <v>1</v>
      </c>
      <c r="E25" s="0" t="n">
        <v>0.4</v>
      </c>
      <c r="F25" s="0" t="n">
        <v>0.8</v>
      </c>
      <c r="G25" s="0" t="n">
        <v>0.1</v>
      </c>
      <c r="H25" s="0" t="n">
        <v>0.2</v>
      </c>
    </row>
    <row r="26" customFormat="false" ht="15" hidden="false" customHeight="false" outlineLevel="0" collapsed="false">
      <c r="A26" s="0" t="n">
        <v>25</v>
      </c>
      <c r="B26" s="0" t="s">
        <v>106</v>
      </c>
      <c r="C26" s="0" t="n">
        <v>0</v>
      </c>
      <c r="D26" s="0" t="n">
        <v>1</v>
      </c>
      <c r="E26" s="0" t="n">
        <v>0.4</v>
      </c>
      <c r="F26" s="0" t="n">
        <v>0.8</v>
      </c>
      <c r="G26" s="0" t="n">
        <v>0.1</v>
      </c>
      <c r="H26" s="0" t="n">
        <v>0.2</v>
      </c>
    </row>
    <row r="27" customFormat="false" ht="15" hidden="false" customHeight="false" outlineLevel="0" collapsed="false">
      <c r="A27" s="0" t="n">
        <v>26</v>
      </c>
      <c r="B27" s="0" t="s">
        <v>125</v>
      </c>
      <c r="C27" s="0" t="n">
        <v>0</v>
      </c>
      <c r="D27" s="0" t="n">
        <v>1</v>
      </c>
      <c r="E27" s="0" t="n">
        <v>0.4</v>
      </c>
      <c r="F27" s="0" t="n">
        <v>0.7</v>
      </c>
      <c r="G27" s="0" t="n">
        <v>0.1</v>
      </c>
      <c r="H27" s="0" t="n">
        <v>0.2</v>
      </c>
    </row>
    <row r="28" customFormat="false" ht="15" hidden="false" customHeight="false" outlineLevel="0" collapsed="false">
      <c r="A28" s="0" t="n">
        <v>27</v>
      </c>
      <c r="B28" s="0" t="s">
        <v>126</v>
      </c>
      <c r="C28" s="0" t="n">
        <v>0</v>
      </c>
      <c r="D28" s="0" t="n">
        <v>1</v>
      </c>
      <c r="E28" s="0" t="n">
        <v>0.5</v>
      </c>
      <c r="F28" s="0" t="n">
        <v>0.6</v>
      </c>
      <c r="G28" s="0" t="n">
        <v>0.3</v>
      </c>
      <c r="H28" s="0" t="n">
        <v>0.5</v>
      </c>
    </row>
    <row r="29" customFormat="false" ht="15" hidden="false" customHeight="false" outlineLevel="0" collapsed="false">
      <c r="A29" s="0" t="n">
        <v>28</v>
      </c>
      <c r="B29" s="0" t="s">
        <v>100</v>
      </c>
      <c r="C29" s="0" t="n">
        <v>0</v>
      </c>
      <c r="D29" s="0" t="n">
        <v>1</v>
      </c>
      <c r="E29" s="0" t="n">
        <v>0.4</v>
      </c>
      <c r="F29" s="0" t="n">
        <v>0.7</v>
      </c>
      <c r="G29" s="0" t="n">
        <v>0.2</v>
      </c>
      <c r="H29" s="0" t="n">
        <v>0.4</v>
      </c>
    </row>
    <row r="30" customFormat="false" ht="15" hidden="false" customHeight="false" outlineLevel="0" collapsed="false">
      <c r="A30" s="0" t="n">
        <v>29</v>
      </c>
      <c r="B30" s="0" t="s">
        <v>101</v>
      </c>
      <c r="C30" s="0" t="n">
        <v>0</v>
      </c>
      <c r="D30" s="0" t="n">
        <v>1</v>
      </c>
      <c r="E30" s="0" t="n">
        <v>0.5</v>
      </c>
      <c r="F30" s="0" t="n">
        <v>0.8</v>
      </c>
      <c r="G30" s="0" t="n">
        <v>0.3</v>
      </c>
      <c r="H30" s="0" t="n">
        <v>0.4</v>
      </c>
    </row>
    <row r="31" customFormat="false" ht="15" hidden="false" customHeight="false" outlineLevel="0" collapsed="false">
      <c r="A31" s="0" t="n">
        <v>30</v>
      </c>
      <c r="B31" s="0" t="s">
        <v>104</v>
      </c>
      <c r="C31" s="0" t="n">
        <v>0</v>
      </c>
      <c r="D31" s="0" t="n">
        <v>1</v>
      </c>
      <c r="E31" s="0" t="n">
        <v>0.4</v>
      </c>
      <c r="F31" s="0" t="n">
        <v>0.7</v>
      </c>
      <c r="G31" s="0" t="n">
        <v>0.3</v>
      </c>
      <c r="H31" s="0" t="n">
        <v>0.4</v>
      </c>
    </row>
    <row r="32" customFormat="false" ht="15" hidden="false" customHeight="false" outlineLevel="0" collapsed="false">
      <c r="A32" s="0" t="n">
        <v>31</v>
      </c>
      <c r="B32" s="0" t="s">
        <v>108</v>
      </c>
      <c r="C32" s="0" t="n">
        <v>0</v>
      </c>
      <c r="D32" s="0" t="n">
        <v>1</v>
      </c>
      <c r="E32" s="0" t="n">
        <v>0.5</v>
      </c>
      <c r="F32" s="0" t="n">
        <v>0.8</v>
      </c>
      <c r="G32" s="0" t="n">
        <v>0.3</v>
      </c>
      <c r="H32" s="0" t="n">
        <v>0.4</v>
      </c>
    </row>
    <row r="33" customFormat="false" ht="15" hidden="false" customHeight="false" outlineLevel="0" collapsed="false">
      <c r="A33" s="0" t="n">
        <v>32</v>
      </c>
      <c r="B33" s="0" t="s">
        <v>110</v>
      </c>
      <c r="C33" s="0" t="n">
        <v>0</v>
      </c>
      <c r="D33" s="0" t="n">
        <v>1</v>
      </c>
      <c r="E33" s="0" t="n">
        <v>0.4</v>
      </c>
      <c r="F33" s="0" t="n">
        <v>0.8</v>
      </c>
      <c r="G33" s="0" t="n">
        <v>0.1</v>
      </c>
      <c r="H33" s="0" t="n">
        <v>0.2</v>
      </c>
    </row>
    <row r="34" customFormat="false" ht="15" hidden="false" customHeight="false" outlineLevel="0" collapsed="false">
      <c r="A34" s="0" t="n">
        <v>33</v>
      </c>
      <c r="B34" s="0" t="s">
        <v>109</v>
      </c>
      <c r="C34" s="0" t="n">
        <v>0</v>
      </c>
      <c r="D34" s="0" t="n">
        <v>1</v>
      </c>
      <c r="E34" s="0" t="n">
        <v>0.5</v>
      </c>
      <c r="F34" s="0" t="n">
        <v>0.8</v>
      </c>
      <c r="G34" s="0" t="n">
        <v>0.1</v>
      </c>
      <c r="H34" s="0" t="n">
        <v>0.3</v>
      </c>
    </row>
    <row r="35" customFormat="false" ht="15" hidden="false" customHeight="false" outlineLevel="0" collapsed="false">
      <c r="A35" s="0" t="n">
        <v>34</v>
      </c>
      <c r="B35" s="0" t="s">
        <v>53</v>
      </c>
      <c r="C35" s="0" t="n">
        <v>0</v>
      </c>
      <c r="D35" s="10" t="n">
        <v>0.4</v>
      </c>
      <c r="E35" s="0" t="n">
        <v>0.5</v>
      </c>
      <c r="F35" s="10" t="n">
        <v>0.3</v>
      </c>
      <c r="G35" s="10" t="n">
        <v>0.5</v>
      </c>
      <c r="H35" s="10" t="n">
        <v>0.9</v>
      </c>
    </row>
    <row r="36" customFormat="false" ht="15" hidden="false" customHeight="false" outlineLevel="0" collapsed="false">
      <c r="A36" s="0" t="n">
        <v>35</v>
      </c>
      <c r="B36" s="0" t="s">
        <v>67</v>
      </c>
      <c r="C36" s="0" t="n">
        <v>0</v>
      </c>
      <c r="D36" s="10" t="n">
        <v>0.2</v>
      </c>
      <c r="E36" s="0" t="n">
        <v>0.4</v>
      </c>
      <c r="F36" s="10" t="n">
        <v>0.2</v>
      </c>
      <c r="G36" s="10" t="n">
        <v>0.6</v>
      </c>
      <c r="H36" s="10" t="n">
        <v>0.9</v>
      </c>
    </row>
    <row r="37" customFormat="false" ht="15" hidden="false" customHeight="false" outlineLevel="0" collapsed="false">
      <c r="A37" s="0" t="n">
        <v>36</v>
      </c>
      <c r="B37" s="0" t="s">
        <v>115</v>
      </c>
      <c r="C37" s="0" t="n">
        <v>0</v>
      </c>
      <c r="D37" s="0" t="n">
        <v>1</v>
      </c>
      <c r="E37" s="0" t="n">
        <v>0.4</v>
      </c>
      <c r="F37" s="0" t="n">
        <v>0.8</v>
      </c>
      <c r="G37" s="0" t="n">
        <v>0.1</v>
      </c>
      <c r="H37" s="0" t="n">
        <v>0.1</v>
      </c>
    </row>
    <row r="38" customFormat="false" ht="15" hidden="false" customHeight="false" outlineLevel="0" collapsed="false">
      <c r="A38" s="0" t="n">
        <v>37</v>
      </c>
      <c r="B38" s="0" t="s">
        <v>124</v>
      </c>
      <c r="C38" s="0" t="n">
        <v>0</v>
      </c>
      <c r="D38" s="0" t="n">
        <v>1</v>
      </c>
      <c r="E38" s="0" t="n">
        <v>0.5</v>
      </c>
      <c r="F38" s="0" t="n">
        <v>0.8</v>
      </c>
      <c r="G38" s="0" t="n">
        <v>0.1</v>
      </c>
      <c r="H38" s="0" t="n">
        <v>0.2</v>
      </c>
    </row>
    <row r="39" customFormat="false" ht="15" hidden="false" customHeight="false" outlineLevel="0" collapsed="false">
      <c r="A39" s="0" t="n">
        <v>38</v>
      </c>
      <c r="B39" s="0" t="s">
        <v>80</v>
      </c>
      <c r="C39" s="0" t="n">
        <v>0</v>
      </c>
      <c r="D39" s="10" t="n">
        <v>0.5</v>
      </c>
      <c r="E39" s="0" t="n">
        <v>0.4</v>
      </c>
      <c r="F39" s="0" t="n">
        <v>0.5</v>
      </c>
      <c r="G39" s="0" t="n">
        <v>0.4</v>
      </c>
      <c r="H39" s="0" t="n">
        <v>0.8</v>
      </c>
    </row>
    <row r="40" customFormat="false" ht="15" hidden="false" customHeight="false" outlineLevel="0" collapsed="false">
      <c r="A40" s="0" t="n">
        <v>39</v>
      </c>
      <c r="B40" s="0" t="s">
        <v>83</v>
      </c>
      <c r="C40" s="0" t="n">
        <v>0</v>
      </c>
      <c r="D40" s="10" t="n">
        <v>0.3</v>
      </c>
      <c r="E40" s="0" t="n">
        <v>0.3</v>
      </c>
      <c r="F40" s="0" t="n">
        <v>0.3</v>
      </c>
      <c r="G40" s="0" t="n">
        <v>0.5</v>
      </c>
      <c r="H40" s="0" t="n">
        <v>0.9</v>
      </c>
    </row>
    <row r="41" customFormat="false" ht="15" hidden="false" customHeight="false" outlineLevel="0" collapsed="false">
      <c r="A41" s="0" t="n">
        <v>40</v>
      </c>
      <c r="B41" s="0" t="s">
        <v>59</v>
      </c>
      <c r="C41" s="10" t="n">
        <v>1</v>
      </c>
      <c r="D41" s="10" t="n">
        <v>0</v>
      </c>
      <c r="E41" s="10" t="n">
        <v>0</v>
      </c>
      <c r="F41" s="10" t="n">
        <v>0</v>
      </c>
      <c r="G41" s="10" t="n">
        <v>0</v>
      </c>
      <c r="H41" s="10" t="n">
        <v>0</v>
      </c>
    </row>
    <row r="42" customFormat="false" ht="15" hidden="false" customHeight="false" outlineLevel="0" collapsed="false">
      <c r="A42" s="0" t="n">
        <v>41</v>
      </c>
      <c r="B42" s="0" t="s">
        <v>76</v>
      </c>
      <c r="C42" s="0" t="n">
        <v>0</v>
      </c>
      <c r="D42" s="10" t="n">
        <v>0.1</v>
      </c>
      <c r="E42" s="0" t="n">
        <v>0.4</v>
      </c>
      <c r="F42" s="0" t="n">
        <v>0.4</v>
      </c>
      <c r="G42" s="10" t="n">
        <v>0.9</v>
      </c>
      <c r="H42" s="0" t="n">
        <v>0.7</v>
      </c>
    </row>
    <row r="43" customFormat="false" ht="15" hidden="false" customHeight="false" outlineLevel="0" collapsed="false">
      <c r="A43" s="0" t="n">
        <v>42</v>
      </c>
      <c r="B43" s="0" t="s">
        <v>87</v>
      </c>
      <c r="C43" s="0" t="n">
        <v>0</v>
      </c>
      <c r="D43" s="10" t="n">
        <v>0.6</v>
      </c>
      <c r="E43" s="0" t="n">
        <v>0.4</v>
      </c>
      <c r="F43" s="0" t="n">
        <v>0.3</v>
      </c>
      <c r="G43" s="0" t="n">
        <v>0.6</v>
      </c>
      <c r="H43" s="0" t="n">
        <v>0.7</v>
      </c>
    </row>
    <row r="44" customFormat="false" ht="15" hidden="false" customHeight="false" outlineLevel="0" collapsed="false">
      <c r="A44" s="0" t="n">
        <v>43</v>
      </c>
      <c r="B44" s="0" t="s">
        <v>117</v>
      </c>
      <c r="C44" s="0" t="n">
        <v>0</v>
      </c>
      <c r="D44" s="0" t="n">
        <v>1</v>
      </c>
      <c r="E44" s="0" t="n">
        <v>0.3</v>
      </c>
      <c r="F44" s="0" t="n">
        <v>0.3</v>
      </c>
      <c r="G44" s="0" t="n">
        <v>0.6</v>
      </c>
      <c r="H44" s="0" t="n">
        <v>0.7</v>
      </c>
    </row>
    <row r="45" customFormat="false" ht="15" hidden="false" customHeight="false" outlineLevel="0" collapsed="false">
      <c r="A45" s="0" t="n">
        <v>44</v>
      </c>
      <c r="B45" s="0" t="s">
        <v>116</v>
      </c>
      <c r="C45" s="0" t="n">
        <v>0</v>
      </c>
      <c r="D45" s="0" t="n">
        <v>1</v>
      </c>
      <c r="E45" s="0" t="n">
        <v>0.2</v>
      </c>
      <c r="F45" s="0" t="n">
        <v>0.2</v>
      </c>
      <c r="G45" s="0" t="n">
        <v>0.3</v>
      </c>
      <c r="H45" s="0" t="n">
        <v>0.4</v>
      </c>
    </row>
    <row r="46" customFormat="false" ht="15" hidden="false" customHeight="false" outlineLevel="0" collapsed="false">
      <c r="A46" s="0" t="n">
        <v>45</v>
      </c>
      <c r="B46" s="0" t="s">
        <v>85</v>
      </c>
      <c r="C46" s="0" t="n">
        <v>0</v>
      </c>
      <c r="D46" s="10" t="n">
        <v>0.5</v>
      </c>
      <c r="E46" s="0" t="n">
        <v>0.2</v>
      </c>
      <c r="F46" s="0" t="n">
        <v>0.1</v>
      </c>
      <c r="G46" s="0" t="n">
        <v>0.8</v>
      </c>
      <c r="H46" s="0" t="n">
        <v>0.9</v>
      </c>
    </row>
    <row r="47" customFormat="false" ht="15" hidden="false" customHeight="false" outlineLevel="0" collapsed="false">
      <c r="A47" s="0" t="n">
        <v>46</v>
      </c>
      <c r="B47" s="0" t="s">
        <v>112</v>
      </c>
      <c r="C47" s="0" t="n">
        <v>0</v>
      </c>
      <c r="D47" s="0" t="n">
        <v>1</v>
      </c>
      <c r="E47" s="0" t="n">
        <v>0.4</v>
      </c>
      <c r="F47" s="0" t="n">
        <v>0.4</v>
      </c>
      <c r="G47" s="0" t="n">
        <v>0.6</v>
      </c>
      <c r="H47" s="0" t="n">
        <v>0.7</v>
      </c>
    </row>
    <row r="48" customFormat="false" ht="15" hidden="false" customHeight="false" outlineLevel="0" collapsed="false">
      <c r="A48" s="0" t="n">
        <v>47</v>
      </c>
      <c r="B48" s="0" t="s">
        <v>113</v>
      </c>
      <c r="C48" s="0" t="n">
        <v>0</v>
      </c>
      <c r="D48" s="0" t="n">
        <v>1</v>
      </c>
      <c r="E48" s="0" t="n">
        <v>0.5</v>
      </c>
      <c r="F48" s="0" t="n">
        <v>0.7</v>
      </c>
      <c r="G48" s="0" t="n">
        <v>0.4</v>
      </c>
      <c r="H48" s="0" t="n">
        <v>0.5</v>
      </c>
    </row>
    <row r="49" customFormat="false" ht="15" hidden="false" customHeight="false" outlineLevel="0" collapsed="false">
      <c r="A49" s="0" t="n">
        <v>48</v>
      </c>
      <c r="B49" s="0" t="s">
        <v>74</v>
      </c>
      <c r="C49" s="0" t="n">
        <v>0</v>
      </c>
      <c r="D49" s="0" t="n">
        <v>1</v>
      </c>
      <c r="E49" s="0" t="n">
        <v>0.5</v>
      </c>
      <c r="F49" s="10" t="n">
        <v>0.9</v>
      </c>
      <c r="G49" s="10" t="n">
        <v>0.3</v>
      </c>
      <c r="H49" s="10" t="n">
        <v>0.3</v>
      </c>
    </row>
    <row r="50" customFormat="false" ht="15" hidden="false" customHeight="false" outlineLevel="0" collapsed="false">
      <c r="A50" s="0" t="n">
        <v>49</v>
      </c>
      <c r="B50" s="0" t="s">
        <v>114</v>
      </c>
      <c r="C50" s="0" t="n">
        <v>0</v>
      </c>
      <c r="D50" s="0" t="n">
        <v>1</v>
      </c>
      <c r="E50" s="0" t="n">
        <v>0.5</v>
      </c>
      <c r="F50" s="0" t="n">
        <v>0.6</v>
      </c>
      <c r="G50" s="0" t="n">
        <v>0.5</v>
      </c>
      <c r="H50" s="0" t="n">
        <v>0.6</v>
      </c>
    </row>
    <row r="51" customFormat="false" ht="15" hidden="false" customHeight="false" outlineLevel="0" collapsed="false">
      <c r="A51" s="0" t="n">
        <v>50</v>
      </c>
      <c r="B51" s="0" t="s">
        <v>78</v>
      </c>
      <c r="C51" s="0" t="n">
        <v>0</v>
      </c>
      <c r="D51" s="10" t="n">
        <v>0.1</v>
      </c>
      <c r="E51" s="0" t="n">
        <v>0.4</v>
      </c>
      <c r="F51" s="10" t="n">
        <v>0.1</v>
      </c>
      <c r="G51" s="0" t="n">
        <v>0.6</v>
      </c>
      <c r="H51" s="0" t="n">
        <v>0.7</v>
      </c>
    </row>
    <row r="52" customFormat="false" ht="15" hidden="false" customHeight="false" outlineLevel="0" collapsed="false">
      <c r="A52" s="0" t="n">
        <v>51</v>
      </c>
      <c r="B52" s="0" t="s">
        <v>64</v>
      </c>
      <c r="C52" s="0" t="n">
        <v>0</v>
      </c>
      <c r="D52" s="10" t="n">
        <v>0.1</v>
      </c>
      <c r="E52" s="0" t="n">
        <v>0.4</v>
      </c>
      <c r="F52" s="10" t="n">
        <v>0.1</v>
      </c>
      <c r="G52" s="0" t="n">
        <v>0.7</v>
      </c>
      <c r="H52" s="0" t="n">
        <v>0.7</v>
      </c>
    </row>
    <row r="53" customFormat="false" ht="15" hidden="false" customHeight="false" outlineLevel="0" collapsed="false">
      <c r="A53" s="0" t="n">
        <v>52</v>
      </c>
      <c r="B53" s="0" t="s">
        <v>38</v>
      </c>
      <c r="C53" s="10" t="n">
        <v>1</v>
      </c>
      <c r="D53" s="10" t="n">
        <v>0</v>
      </c>
      <c r="E53" s="10" t="n">
        <v>0</v>
      </c>
      <c r="F53" s="10" t="n">
        <v>0</v>
      </c>
      <c r="G53" s="10" t="n">
        <v>0</v>
      </c>
      <c r="H53" s="10" t="n">
        <v>0</v>
      </c>
    </row>
    <row r="54" customFormat="false" ht="15" hidden="false" customHeight="false" outlineLevel="0" collapsed="false">
      <c r="A54" s="0" t="n">
        <v>53</v>
      </c>
      <c r="B54" s="0" t="s">
        <v>46</v>
      </c>
      <c r="C54" s="10" t="n">
        <v>1</v>
      </c>
      <c r="D54" s="10" t="n">
        <v>0</v>
      </c>
      <c r="E54" s="10" t="n">
        <v>0</v>
      </c>
      <c r="F54" s="10" t="n">
        <v>0</v>
      </c>
      <c r="G54" s="10" t="n">
        <v>0</v>
      </c>
      <c r="H54" s="10" t="n">
        <v>0</v>
      </c>
    </row>
    <row r="55" customFormat="false" ht="15" hidden="false" customHeight="false" outlineLevel="0" collapsed="false">
      <c r="A55" s="0" t="n">
        <v>54</v>
      </c>
      <c r="B55" s="0" t="s">
        <v>51</v>
      </c>
      <c r="C55" s="10" t="n">
        <v>1</v>
      </c>
      <c r="D55" s="10" t="n">
        <v>0</v>
      </c>
      <c r="E55" s="10" t="n">
        <v>0</v>
      </c>
      <c r="F55" s="10" t="n">
        <v>0</v>
      </c>
      <c r="G55" s="10" t="n">
        <v>0</v>
      </c>
      <c r="H55" s="10" t="n">
        <v>0</v>
      </c>
    </row>
    <row r="56" customFormat="false" ht="15" hidden="false" customHeight="false" outlineLevel="0" collapsed="false">
      <c r="A56" s="0" t="n">
        <v>55</v>
      </c>
      <c r="B56" s="0" t="s">
        <v>47</v>
      </c>
      <c r="C56" s="10" t="n">
        <v>1</v>
      </c>
      <c r="D56" s="10" t="n">
        <v>0</v>
      </c>
      <c r="E56" s="10" t="n">
        <v>0</v>
      </c>
      <c r="F56" s="10" t="n">
        <v>0</v>
      </c>
      <c r="G56" s="10" t="n">
        <v>0</v>
      </c>
      <c r="H56" s="10" t="n">
        <v>0</v>
      </c>
    </row>
    <row r="57" customFormat="false" ht="15" hidden="false" customHeight="false" outlineLevel="0" collapsed="false">
      <c r="A57" s="0" t="n">
        <v>56</v>
      </c>
      <c r="B57" s="0" t="s">
        <v>48</v>
      </c>
      <c r="C57" s="10" t="n">
        <v>1</v>
      </c>
      <c r="D57" s="10" t="n">
        <v>0</v>
      </c>
      <c r="E57" s="10" t="n">
        <v>0</v>
      </c>
      <c r="F57" s="10" t="n">
        <v>0</v>
      </c>
      <c r="G57" s="10" t="n">
        <v>0</v>
      </c>
      <c r="H57" s="10" t="n">
        <v>0</v>
      </c>
    </row>
    <row r="58" customFormat="false" ht="15" hidden="false" customHeight="false" outlineLevel="0" collapsed="false">
      <c r="A58" s="0" t="n">
        <v>57</v>
      </c>
      <c r="B58" s="0" t="s">
        <v>50</v>
      </c>
      <c r="C58" s="10" t="n">
        <v>1</v>
      </c>
      <c r="D58" s="10" t="n">
        <v>0</v>
      </c>
      <c r="E58" s="10" t="n">
        <v>0</v>
      </c>
      <c r="F58" s="10" t="n">
        <v>0</v>
      </c>
      <c r="G58" s="10" t="n">
        <v>0</v>
      </c>
      <c r="H58" s="10" t="n">
        <v>0</v>
      </c>
    </row>
    <row r="59" customFormat="false" ht="15" hidden="false" customHeight="false" outlineLevel="0" collapsed="false">
      <c r="A59" s="0" t="n">
        <v>58</v>
      </c>
      <c r="B59" s="0" t="s">
        <v>61</v>
      </c>
      <c r="C59" s="0" t="n">
        <v>0</v>
      </c>
      <c r="D59" s="0" t="n">
        <v>1</v>
      </c>
      <c r="E59" s="10" t="n">
        <v>0.4</v>
      </c>
      <c r="F59" s="10" t="n">
        <v>0.9</v>
      </c>
      <c r="G59" s="0" t="n">
        <v>0.1</v>
      </c>
      <c r="H59" s="0" t="n">
        <v>0.1</v>
      </c>
    </row>
    <row r="60" customFormat="false" ht="15" hidden="false" customHeight="false" outlineLevel="0" collapsed="false">
      <c r="A60" s="0" t="n">
        <v>59</v>
      </c>
      <c r="B60" s="0" t="s">
        <v>69</v>
      </c>
      <c r="C60" s="0" t="n">
        <v>0</v>
      </c>
      <c r="D60" s="0" t="n">
        <v>1</v>
      </c>
      <c r="E60" s="10" t="n">
        <v>0.5</v>
      </c>
      <c r="F60" s="10" t="n">
        <v>0.9</v>
      </c>
      <c r="G60" s="0" t="n">
        <v>0.1</v>
      </c>
      <c r="H60" s="0" t="n">
        <v>0.1</v>
      </c>
    </row>
    <row r="61" customFormat="false" ht="15" hidden="false" customHeight="false" outlineLevel="0" collapsed="false">
      <c r="A61" s="0" t="n">
        <v>60</v>
      </c>
      <c r="B61" s="0" t="s">
        <v>72</v>
      </c>
      <c r="C61" s="0" t="n">
        <v>0</v>
      </c>
      <c r="D61" s="10" t="n">
        <v>0.1</v>
      </c>
      <c r="E61" s="0" t="n">
        <v>0.1</v>
      </c>
      <c r="F61" s="0" t="n">
        <v>0.1</v>
      </c>
      <c r="G61" s="10" t="n">
        <v>0.7</v>
      </c>
      <c r="H61" s="10" t="n">
        <v>0.9</v>
      </c>
    </row>
    <row r="62" customFormat="false" ht="15" hidden="false" customHeight="false" outlineLevel="0" collapsed="false">
      <c r="A62" s="0" t="n">
        <v>61</v>
      </c>
      <c r="B62" s="0" t="s">
        <v>52</v>
      </c>
      <c r="C62" s="10" t="n">
        <v>1</v>
      </c>
      <c r="D62" s="10" t="n">
        <v>0</v>
      </c>
      <c r="E62" s="10" t="n">
        <v>0</v>
      </c>
      <c r="F62" s="10" t="n">
        <v>0</v>
      </c>
      <c r="G62" s="10" t="n">
        <v>0</v>
      </c>
      <c r="H62" s="10" t="n">
        <v>0</v>
      </c>
    </row>
    <row r="63" customFormat="false" ht="15" hidden="false" customHeight="false" outlineLevel="0" collapsed="false">
      <c r="A63" s="0" t="n">
        <v>62</v>
      </c>
      <c r="B63" s="0" t="s">
        <v>55</v>
      </c>
      <c r="C63" s="0" t="n">
        <v>0</v>
      </c>
      <c r="D63" s="10" t="n">
        <v>0</v>
      </c>
      <c r="E63" s="10" t="n">
        <v>0.1</v>
      </c>
      <c r="F63" s="10" t="n">
        <v>0</v>
      </c>
      <c r="G63" s="10" t="n">
        <v>0.6</v>
      </c>
      <c r="H63" s="10" t="n">
        <v>0.9</v>
      </c>
    </row>
    <row r="64" customFormat="false" ht="15" hidden="false" customHeight="false" outlineLevel="0" collapsed="false">
      <c r="A64" s="0" t="n">
        <v>63</v>
      </c>
      <c r="B64" s="0" t="s">
        <v>60</v>
      </c>
      <c r="C64" s="10" t="n">
        <v>1</v>
      </c>
      <c r="D64" s="10" t="n">
        <v>0</v>
      </c>
      <c r="E64" s="10" t="n">
        <v>0</v>
      </c>
      <c r="F64" s="10" t="n">
        <v>0</v>
      </c>
      <c r="G64" s="10" t="n">
        <v>0</v>
      </c>
      <c r="H64" s="10" t="n">
        <v>0</v>
      </c>
    </row>
    <row r="65" customFormat="false" ht="15" hidden="false" customHeight="false" outlineLevel="0" collapsed="false">
      <c r="A65" s="0" t="n">
        <v>64</v>
      </c>
      <c r="B65" s="0" t="s">
        <v>57</v>
      </c>
      <c r="C65" s="10" t="n">
        <v>1</v>
      </c>
      <c r="D65" s="10" t="n">
        <v>0</v>
      </c>
      <c r="E65" s="10" t="n">
        <v>0</v>
      </c>
      <c r="F65" s="10" t="n">
        <v>0</v>
      </c>
      <c r="G65" s="10" t="n">
        <v>0</v>
      </c>
      <c r="H65" s="10"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H6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sheetData>
    <row r="1" customFormat="false" ht="15" hidden="false" customHeight="false" outlineLevel="0" collapsed="false">
      <c r="B1" s="0" t="s">
        <v>138</v>
      </c>
      <c r="C1" s="0" t="n">
        <v>1</v>
      </c>
      <c r="D1" s="0" t="n">
        <v>2</v>
      </c>
      <c r="E1" s="0" t="n">
        <v>3</v>
      </c>
      <c r="F1" s="0" t="n">
        <v>4</v>
      </c>
      <c r="G1" s="0" t="n">
        <v>5</v>
      </c>
      <c r="H1" s="0" t="n">
        <v>6</v>
      </c>
      <c r="I1" s="0" t="n">
        <v>7</v>
      </c>
      <c r="J1" s="0" t="n">
        <v>8</v>
      </c>
      <c r="K1" s="0" t="n">
        <v>9</v>
      </c>
      <c r="L1" s="0" t="n">
        <v>10</v>
      </c>
      <c r="M1" s="0" t="n">
        <v>11</v>
      </c>
      <c r="N1" s="0" t="n">
        <v>12</v>
      </c>
      <c r="O1" s="0" t="n">
        <v>13</v>
      </c>
      <c r="P1" s="0" t="n">
        <v>14</v>
      </c>
      <c r="Q1" s="0" t="n">
        <v>15</v>
      </c>
      <c r="R1" s="0" t="n">
        <v>16</v>
      </c>
      <c r="S1" s="0" t="n">
        <v>17</v>
      </c>
      <c r="T1" s="0" t="n">
        <v>18</v>
      </c>
      <c r="U1" s="0" t="n">
        <v>19</v>
      </c>
      <c r="V1" s="0" t="n">
        <v>20</v>
      </c>
      <c r="W1" s="0" t="n">
        <v>21</v>
      </c>
      <c r="X1" s="0" t="n">
        <v>22</v>
      </c>
      <c r="Y1" s="0" t="n">
        <v>23</v>
      </c>
      <c r="Z1" s="0" t="n">
        <v>24</v>
      </c>
      <c r="AA1" s="0" t="n">
        <v>25</v>
      </c>
      <c r="AB1" s="0" t="n">
        <v>26</v>
      </c>
      <c r="AC1" s="0" t="n">
        <v>27</v>
      </c>
      <c r="AD1" s="0" t="n">
        <v>28</v>
      </c>
      <c r="AE1" s="0" t="n">
        <v>29</v>
      </c>
      <c r="AF1" s="0" t="n">
        <v>30</v>
      </c>
      <c r="AG1" s="0" t="n">
        <v>31</v>
      </c>
      <c r="AH1" s="0" t="n">
        <v>32</v>
      </c>
      <c r="AI1" s="0" t="n">
        <v>33</v>
      </c>
      <c r="AJ1" s="0" t="n">
        <v>34</v>
      </c>
      <c r="AK1" s="0" t="n">
        <v>35</v>
      </c>
      <c r="AL1" s="0" t="n">
        <v>36</v>
      </c>
      <c r="AM1" s="0" t="n">
        <v>37</v>
      </c>
      <c r="AN1" s="0" t="n">
        <v>38</v>
      </c>
      <c r="AO1" s="0" t="n">
        <v>39</v>
      </c>
      <c r="AP1" s="0" t="n">
        <v>40</v>
      </c>
      <c r="AQ1" s="0" t="n">
        <v>41</v>
      </c>
      <c r="AR1" s="0" t="n">
        <v>42</v>
      </c>
      <c r="AS1" s="0" t="n">
        <v>43</v>
      </c>
      <c r="AT1" s="0" t="n">
        <v>44</v>
      </c>
      <c r="AU1" s="0" t="n">
        <v>45</v>
      </c>
      <c r="AV1" s="0" t="n">
        <v>46</v>
      </c>
      <c r="AW1" s="0" t="n">
        <v>47</v>
      </c>
      <c r="AX1" s="0" t="n">
        <v>48</v>
      </c>
      <c r="AY1" s="0" t="n">
        <v>49</v>
      </c>
      <c r="AZ1" s="0" t="n">
        <v>50</v>
      </c>
      <c r="BA1" s="0" t="n">
        <v>51</v>
      </c>
      <c r="BB1" s="0" t="n">
        <v>52</v>
      </c>
      <c r="BC1" s="0" t="n">
        <v>53</v>
      </c>
      <c r="BD1" s="0" t="n">
        <v>54</v>
      </c>
      <c r="BE1" s="0" t="n">
        <v>55</v>
      </c>
      <c r="BF1" s="0" t="n">
        <v>56</v>
      </c>
      <c r="BG1" s="0" t="n">
        <v>57</v>
      </c>
      <c r="BH1" s="0" t="n">
        <v>58</v>
      </c>
    </row>
    <row r="2" customFormat="false" ht="15" hidden="false" customHeight="false" outlineLevel="0" collapsed="false">
      <c r="A2" s="0" t="n">
        <v>1</v>
      </c>
      <c r="B2" s="0" t="s">
        <v>32</v>
      </c>
      <c r="C2" s="0" t="n">
        <v>9.635009</v>
      </c>
      <c r="D2" s="0" t="n">
        <v>2</v>
      </c>
      <c r="E2" s="0" t="n">
        <v>2</v>
      </c>
      <c r="F2" s="0" t="n">
        <v>2</v>
      </c>
      <c r="G2" s="0" t="n">
        <v>2</v>
      </c>
      <c r="H2" s="0" t="n">
        <v>2</v>
      </c>
      <c r="I2" s="0" t="n">
        <v>2</v>
      </c>
      <c r="J2" s="0" t="n">
        <v>2</v>
      </c>
      <c r="K2" s="0" t="n">
        <v>2</v>
      </c>
      <c r="L2" s="0" t="n">
        <v>2</v>
      </c>
      <c r="M2" s="0" t="n">
        <v>2</v>
      </c>
      <c r="N2" s="0" t="n">
        <v>2</v>
      </c>
      <c r="O2" s="0" t="n">
        <v>2</v>
      </c>
      <c r="P2" s="0" t="n">
        <v>2</v>
      </c>
      <c r="Q2" s="0" t="n">
        <v>2</v>
      </c>
      <c r="R2" s="0" t="n">
        <v>2</v>
      </c>
      <c r="S2" s="0" t="n">
        <v>2</v>
      </c>
      <c r="T2" s="0" t="n">
        <v>2</v>
      </c>
      <c r="U2" s="0" t="n">
        <v>2</v>
      </c>
      <c r="V2" s="0" t="n">
        <v>2</v>
      </c>
      <c r="W2" s="0" t="n">
        <v>2</v>
      </c>
      <c r="X2" s="0" t="n">
        <v>2</v>
      </c>
      <c r="Y2" s="0" t="n">
        <v>2</v>
      </c>
      <c r="Z2" s="0" t="n">
        <v>2</v>
      </c>
      <c r="AA2" s="0" t="n">
        <v>2</v>
      </c>
      <c r="AB2" s="0" t="n">
        <v>2</v>
      </c>
      <c r="AC2" s="0" t="n">
        <v>2</v>
      </c>
      <c r="AD2" s="0" t="n">
        <v>2</v>
      </c>
      <c r="AE2" s="0" t="n">
        <v>2</v>
      </c>
      <c r="AF2" s="0" t="n">
        <v>2</v>
      </c>
      <c r="AG2" s="0" t="n">
        <v>2</v>
      </c>
      <c r="AH2" s="0" t="n">
        <v>2</v>
      </c>
      <c r="AI2" s="0" t="n">
        <v>2</v>
      </c>
      <c r="AJ2" s="0" t="n">
        <v>2</v>
      </c>
      <c r="AK2" s="0" t="n">
        <v>2</v>
      </c>
      <c r="AL2" s="0" t="n">
        <v>2</v>
      </c>
      <c r="AM2" s="0" t="n">
        <v>2</v>
      </c>
      <c r="AN2" s="0" t="n">
        <v>2</v>
      </c>
      <c r="AO2" s="0" t="n">
        <v>2</v>
      </c>
      <c r="AP2" s="0" t="n">
        <v>2</v>
      </c>
      <c r="AQ2" s="0" t="n">
        <v>2</v>
      </c>
      <c r="AR2" s="0" t="n">
        <v>2</v>
      </c>
      <c r="AS2" s="0" t="n">
        <v>2</v>
      </c>
      <c r="AT2" s="0" t="n">
        <v>2</v>
      </c>
      <c r="AU2" s="0" t="n">
        <v>2</v>
      </c>
      <c r="AV2" s="0" t="n">
        <v>2</v>
      </c>
      <c r="AW2" s="0" t="n">
        <v>2</v>
      </c>
      <c r="AX2" s="0" t="n">
        <v>2</v>
      </c>
      <c r="AY2" s="0" t="n">
        <v>2</v>
      </c>
      <c r="AZ2" s="0" t="n">
        <v>2</v>
      </c>
      <c r="BA2" s="0" t="n">
        <v>2</v>
      </c>
      <c r="BB2" s="0" t="n">
        <v>2</v>
      </c>
      <c r="BC2" s="0" t="n">
        <v>2</v>
      </c>
      <c r="BD2" s="0" t="n">
        <v>2</v>
      </c>
      <c r="BE2" s="0" t="n">
        <v>2</v>
      </c>
      <c r="BF2" s="0" t="n">
        <v>2</v>
      </c>
      <c r="BG2" s="0" t="n">
        <v>2</v>
      </c>
      <c r="BH2" s="0" t="n">
        <v>2</v>
      </c>
    </row>
    <row r="3" customFormat="false" ht="15" hidden="false" customHeight="false" outlineLevel="0" collapsed="false">
      <c r="A3" s="0" t="n">
        <v>2</v>
      </c>
      <c r="B3" s="0" t="s">
        <v>103</v>
      </c>
      <c r="C3" s="0" t="n">
        <v>9.635009</v>
      </c>
      <c r="D3" s="0" t="n">
        <v>2</v>
      </c>
      <c r="E3" s="0" t="n">
        <v>2</v>
      </c>
      <c r="F3" s="0" t="n">
        <v>2</v>
      </c>
      <c r="G3" s="0" t="n">
        <v>2</v>
      </c>
      <c r="H3" s="0" t="n">
        <v>2</v>
      </c>
      <c r="I3" s="0" t="n">
        <v>2</v>
      </c>
      <c r="J3" s="0" t="n">
        <v>2</v>
      </c>
      <c r="K3" s="0" t="n">
        <v>2</v>
      </c>
      <c r="L3" s="0" t="n">
        <v>2</v>
      </c>
      <c r="M3" s="0" t="n">
        <v>2</v>
      </c>
      <c r="N3" s="0" t="n">
        <v>2</v>
      </c>
      <c r="O3" s="0" t="n">
        <v>2</v>
      </c>
      <c r="P3" s="0" t="n">
        <v>2</v>
      </c>
      <c r="Q3" s="0" t="n">
        <v>2</v>
      </c>
      <c r="R3" s="0" t="n">
        <v>2</v>
      </c>
      <c r="S3" s="0" t="n">
        <v>2</v>
      </c>
      <c r="T3" s="0" t="n">
        <v>2</v>
      </c>
      <c r="U3" s="0" t="n">
        <v>2</v>
      </c>
      <c r="V3" s="0" t="n">
        <v>2</v>
      </c>
      <c r="W3" s="0" t="n">
        <v>2</v>
      </c>
      <c r="X3" s="0" t="n">
        <v>2</v>
      </c>
      <c r="Y3" s="0" t="n">
        <v>2</v>
      </c>
      <c r="Z3" s="0" t="n">
        <v>2</v>
      </c>
      <c r="AA3" s="0" t="n">
        <v>2</v>
      </c>
      <c r="AB3" s="0" t="n">
        <v>2</v>
      </c>
      <c r="AC3" s="0" t="n">
        <v>2</v>
      </c>
      <c r="AD3" s="0" t="n">
        <v>2</v>
      </c>
      <c r="AE3" s="0" t="n">
        <v>2</v>
      </c>
      <c r="AF3" s="0" t="n">
        <v>2</v>
      </c>
      <c r="AG3" s="0" t="n">
        <v>2</v>
      </c>
      <c r="AH3" s="0" t="n">
        <v>2</v>
      </c>
      <c r="AI3" s="0" t="n">
        <v>2</v>
      </c>
      <c r="AJ3" s="0" t="n">
        <v>2</v>
      </c>
      <c r="AK3" s="0" t="n">
        <v>2</v>
      </c>
      <c r="AL3" s="0" t="n">
        <v>2</v>
      </c>
      <c r="AM3" s="0" t="n">
        <v>2</v>
      </c>
      <c r="AN3" s="0" t="n">
        <v>2</v>
      </c>
      <c r="AO3" s="0" t="n">
        <v>2</v>
      </c>
      <c r="AP3" s="0" t="n">
        <v>2</v>
      </c>
      <c r="AQ3" s="0" t="n">
        <v>2</v>
      </c>
      <c r="AR3" s="0" t="n">
        <v>2</v>
      </c>
      <c r="AS3" s="0" t="n">
        <v>2</v>
      </c>
      <c r="AT3" s="0" t="n">
        <v>2</v>
      </c>
      <c r="AU3" s="0" t="n">
        <v>2</v>
      </c>
      <c r="AV3" s="0" t="n">
        <v>2</v>
      </c>
      <c r="AW3" s="0" t="n">
        <v>2</v>
      </c>
      <c r="AX3" s="0" t="n">
        <v>2</v>
      </c>
      <c r="AY3" s="0" t="n">
        <v>2</v>
      </c>
      <c r="AZ3" s="0" t="n">
        <v>2</v>
      </c>
      <c r="BA3" s="0" t="n">
        <v>2</v>
      </c>
      <c r="BB3" s="0" t="n">
        <v>2</v>
      </c>
      <c r="BC3" s="0" t="n">
        <v>2</v>
      </c>
      <c r="BD3" s="0" t="n">
        <v>2</v>
      </c>
      <c r="BE3" s="0" t="n">
        <v>2</v>
      </c>
      <c r="BF3" s="0" t="n">
        <v>2</v>
      </c>
      <c r="BG3" s="0" t="n">
        <v>2</v>
      </c>
      <c r="BH3" s="0" t="n">
        <v>2</v>
      </c>
    </row>
    <row r="4" customFormat="false" ht="15" hidden="false" customHeight="false" outlineLevel="0" collapsed="false">
      <c r="A4" s="0" t="n">
        <v>3</v>
      </c>
      <c r="B4" s="0" t="s">
        <v>89</v>
      </c>
      <c r="C4" s="0" t="n">
        <v>9.635009</v>
      </c>
      <c r="D4" s="0" t="n">
        <v>9.863213</v>
      </c>
      <c r="E4" s="0" t="n">
        <v>2</v>
      </c>
      <c r="F4" s="0" t="n">
        <v>2</v>
      </c>
      <c r="G4" s="0" t="n">
        <v>2</v>
      </c>
      <c r="H4" s="0" t="n">
        <v>2</v>
      </c>
      <c r="I4" s="0" t="n">
        <v>2</v>
      </c>
      <c r="J4" s="0" t="n">
        <v>2</v>
      </c>
      <c r="K4" s="0" t="n">
        <v>2</v>
      </c>
      <c r="L4" s="0" t="n">
        <v>9.549344</v>
      </c>
      <c r="M4" s="0" t="n">
        <v>2</v>
      </c>
      <c r="N4" s="0" t="n">
        <v>2</v>
      </c>
      <c r="O4" s="0" t="n">
        <v>2</v>
      </c>
      <c r="P4" s="0" t="n">
        <v>2</v>
      </c>
      <c r="Q4" s="0" t="n">
        <v>2</v>
      </c>
      <c r="R4" s="0" t="n">
        <v>2</v>
      </c>
      <c r="S4" s="0" t="n">
        <v>2</v>
      </c>
      <c r="T4" s="0" t="n">
        <v>2</v>
      </c>
      <c r="U4" s="0" t="n">
        <v>2</v>
      </c>
      <c r="V4" s="0" t="n">
        <v>2</v>
      </c>
      <c r="W4" s="0" t="n">
        <v>2</v>
      </c>
      <c r="X4" s="0" t="n">
        <v>2</v>
      </c>
      <c r="Y4" s="0" t="n">
        <v>2</v>
      </c>
      <c r="Z4" s="0" t="n">
        <v>2</v>
      </c>
      <c r="AA4" s="0" t="n">
        <v>2</v>
      </c>
      <c r="AB4" s="0" t="n">
        <v>2</v>
      </c>
      <c r="AC4" s="0" t="n">
        <v>2</v>
      </c>
      <c r="AD4" s="0" t="n">
        <v>2</v>
      </c>
      <c r="AE4" s="0" t="n">
        <v>2</v>
      </c>
      <c r="AF4" s="0" t="n">
        <v>2</v>
      </c>
      <c r="AG4" s="0" t="n">
        <v>2</v>
      </c>
      <c r="AH4" s="0" t="n">
        <v>2</v>
      </c>
      <c r="AI4" s="0" t="n">
        <v>2</v>
      </c>
      <c r="AJ4" s="0" t="n">
        <v>2</v>
      </c>
      <c r="AK4" s="0" t="n">
        <v>2</v>
      </c>
      <c r="AL4" s="0" t="n">
        <v>2</v>
      </c>
      <c r="AM4" s="0" t="n">
        <v>2</v>
      </c>
      <c r="AN4" s="0" t="n">
        <v>2</v>
      </c>
      <c r="AO4" s="0" t="n">
        <v>2</v>
      </c>
      <c r="AP4" s="0" t="n">
        <v>2</v>
      </c>
      <c r="AQ4" s="0" t="n">
        <v>2</v>
      </c>
      <c r="AR4" s="0" t="n">
        <v>2</v>
      </c>
      <c r="AS4" s="0" t="n">
        <v>2</v>
      </c>
      <c r="AT4" s="0" t="n">
        <v>2</v>
      </c>
      <c r="AU4" s="0" t="n">
        <v>2</v>
      </c>
      <c r="AV4" s="0" t="n">
        <v>2</v>
      </c>
      <c r="AW4" s="0" t="n">
        <v>2</v>
      </c>
      <c r="AX4" s="0" t="n">
        <v>2</v>
      </c>
      <c r="AY4" s="0" t="n">
        <v>2</v>
      </c>
      <c r="AZ4" s="0" t="n">
        <v>2</v>
      </c>
      <c r="BA4" s="0" t="n">
        <v>2</v>
      </c>
      <c r="BB4" s="0" t="n">
        <v>2</v>
      </c>
      <c r="BC4" s="0" t="n">
        <v>2</v>
      </c>
      <c r="BD4" s="0" t="n">
        <v>2</v>
      </c>
      <c r="BE4" s="0" t="n">
        <v>2</v>
      </c>
      <c r="BF4" s="0" t="n">
        <v>2</v>
      </c>
      <c r="BG4" s="0" t="n">
        <v>2</v>
      </c>
      <c r="BH4" s="0" t="n">
        <v>2</v>
      </c>
    </row>
    <row r="5" customFormat="false" ht="15" hidden="false" customHeight="false" outlineLevel="0" collapsed="false">
      <c r="A5" s="0" t="n">
        <v>4</v>
      </c>
      <c r="B5" s="0" t="s">
        <v>49</v>
      </c>
      <c r="C5" s="0" t="n">
        <v>9.635009</v>
      </c>
      <c r="D5" s="0" t="n">
        <v>9.863213</v>
      </c>
      <c r="E5" s="0" t="n">
        <v>7.678486</v>
      </c>
      <c r="F5" s="0" t="n">
        <v>9.445538</v>
      </c>
      <c r="G5" s="0" t="n">
        <v>2</v>
      </c>
      <c r="H5" s="0" t="n">
        <v>2</v>
      </c>
      <c r="I5" s="0" t="n">
        <v>2</v>
      </c>
      <c r="J5" s="0" t="n">
        <v>2</v>
      </c>
      <c r="K5" s="0" t="n">
        <v>2</v>
      </c>
      <c r="L5" s="0" t="n">
        <v>9.549344</v>
      </c>
      <c r="M5" s="0" t="n">
        <v>2</v>
      </c>
      <c r="N5" s="0" t="n">
        <v>2</v>
      </c>
      <c r="O5" s="0" t="n">
        <v>2</v>
      </c>
      <c r="P5" s="0" t="n">
        <v>2</v>
      </c>
      <c r="Q5" s="0" t="n">
        <v>2</v>
      </c>
      <c r="R5" s="0" t="n">
        <v>2</v>
      </c>
      <c r="S5" s="0" t="n">
        <v>2</v>
      </c>
      <c r="T5" s="0" t="n">
        <v>2</v>
      </c>
      <c r="U5" s="0" t="n">
        <v>2</v>
      </c>
      <c r="V5" s="0" t="n">
        <v>2</v>
      </c>
      <c r="W5" s="0" t="n">
        <v>2</v>
      </c>
      <c r="X5" s="0" t="n">
        <v>2</v>
      </c>
      <c r="Y5" s="0" t="n">
        <v>2</v>
      </c>
      <c r="Z5" s="0" t="n">
        <v>2</v>
      </c>
      <c r="AA5" s="0" t="n">
        <v>2</v>
      </c>
      <c r="AB5" s="0" t="n">
        <v>2</v>
      </c>
      <c r="AC5" s="0" t="n">
        <v>2</v>
      </c>
      <c r="AD5" s="0" t="n">
        <v>2</v>
      </c>
      <c r="AE5" s="0" t="n">
        <v>2</v>
      </c>
      <c r="AF5" s="0" t="n">
        <v>2</v>
      </c>
      <c r="AG5" s="0" t="n">
        <v>2</v>
      </c>
      <c r="AH5" s="0" t="n">
        <v>2</v>
      </c>
      <c r="AI5" s="0" t="n">
        <v>2</v>
      </c>
      <c r="AJ5" s="0" t="n">
        <v>2</v>
      </c>
      <c r="AK5" s="0" t="n">
        <v>2</v>
      </c>
      <c r="AL5" s="0" t="n">
        <v>2</v>
      </c>
      <c r="AM5" s="0" t="n">
        <v>2</v>
      </c>
      <c r="AN5" s="0" t="n">
        <v>2</v>
      </c>
      <c r="AO5" s="0" t="n">
        <v>2</v>
      </c>
      <c r="AP5" s="0" t="n">
        <v>2</v>
      </c>
      <c r="AQ5" s="0" t="n">
        <v>2</v>
      </c>
      <c r="AR5" s="0" t="n">
        <v>2</v>
      </c>
      <c r="AS5" s="0" t="n">
        <v>2</v>
      </c>
      <c r="AT5" s="0" t="n">
        <v>2</v>
      </c>
      <c r="AU5" s="0" t="n">
        <v>2</v>
      </c>
      <c r="AV5" s="0" t="n">
        <v>2</v>
      </c>
      <c r="AW5" s="0" t="n">
        <v>2</v>
      </c>
      <c r="AX5" s="0" t="n">
        <v>2</v>
      </c>
      <c r="AY5" s="0" t="n">
        <v>2</v>
      </c>
      <c r="AZ5" s="0" t="n">
        <v>2</v>
      </c>
      <c r="BA5" s="0" t="n">
        <v>2</v>
      </c>
      <c r="BB5" s="0" t="n">
        <v>2</v>
      </c>
      <c r="BC5" s="0" t="n">
        <v>2</v>
      </c>
      <c r="BD5" s="0" t="n">
        <v>2</v>
      </c>
      <c r="BE5" s="0" t="n">
        <v>2</v>
      </c>
      <c r="BF5" s="0" t="n">
        <v>2</v>
      </c>
      <c r="BG5" s="0" t="n">
        <v>2</v>
      </c>
      <c r="BH5" s="0" t="n">
        <v>2</v>
      </c>
    </row>
    <row r="6" customFormat="false" ht="15" hidden="false" customHeight="false" outlineLevel="0" collapsed="false">
      <c r="A6" s="0" t="n">
        <v>5</v>
      </c>
      <c r="B6" s="0" t="s">
        <v>96</v>
      </c>
      <c r="C6" s="0" t="n">
        <v>2</v>
      </c>
      <c r="D6" s="0" t="n">
        <v>2</v>
      </c>
      <c r="E6" s="0" t="n">
        <v>2</v>
      </c>
      <c r="F6" s="0" t="n">
        <v>2</v>
      </c>
      <c r="G6" s="0" t="n">
        <v>2</v>
      </c>
      <c r="H6" s="0" t="n">
        <v>2</v>
      </c>
      <c r="I6" s="0" t="n">
        <v>2</v>
      </c>
      <c r="J6" s="0" t="n">
        <v>2</v>
      </c>
      <c r="K6" s="0" t="n">
        <v>2</v>
      </c>
      <c r="L6" s="0" t="n">
        <v>2</v>
      </c>
      <c r="M6" s="0" t="n">
        <v>2</v>
      </c>
      <c r="N6" s="0" t="n">
        <v>2</v>
      </c>
      <c r="O6" s="0" t="n">
        <v>2</v>
      </c>
      <c r="P6" s="0" t="n">
        <v>2</v>
      </c>
      <c r="Q6" s="0" t="n">
        <v>2</v>
      </c>
      <c r="R6" s="0" t="n">
        <v>2</v>
      </c>
      <c r="S6" s="0" t="n">
        <v>2</v>
      </c>
      <c r="T6" s="0" t="n">
        <v>2</v>
      </c>
      <c r="U6" s="0" t="n">
        <v>2</v>
      </c>
      <c r="V6" s="0" t="n">
        <v>2</v>
      </c>
      <c r="W6" s="0" t="n">
        <v>2</v>
      </c>
      <c r="X6" s="0" t="n">
        <v>2</v>
      </c>
      <c r="Y6" s="0" t="n">
        <v>2</v>
      </c>
      <c r="Z6" s="0" t="n">
        <v>2</v>
      </c>
      <c r="AA6" s="0" t="n">
        <v>2</v>
      </c>
      <c r="AB6" s="0" t="n">
        <v>2</v>
      </c>
      <c r="AC6" s="0" t="n">
        <v>2</v>
      </c>
      <c r="AD6" s="0" t="n">
        <v>2</v>
      </c>
      <c r="AE6" s="0" t="n">
        <v>2</v>
      </c>
      <c r="AF6" s="0" t="n">
        <v>2</v>
      </c>
      <c r="AG6" s="0" t="n">
        <v>2</v>
      </c>
      <c r="AH6" s="0" t="n">
        <v>2</v>
      </c>
      <c r="AI6" s="0" t="n">
        <v>2</v>
      </c>
      <c r="AJ6" s="0" t="n">
        <v>2</v>
      </c>
      <c r="AK6" s="0" t="n">
        <v>2</v>
      </c>
      <c r="AL6" s="0" t="n">
        <v>2</v>
      </c>
      <c r="AM6" s="0" t="n">
        <v>2</v>
      </c>
      <c r="AN6" s="0" t="n">
        <v>2</v>
      </c>
      <c r="AO6" s="0" t="n">
        <v>2</v>
      </c>
      <c r="AP6" s="0" t="n">
        <v>2</v>
      </c>
      <c r="AQ6" s="0" t="n">
        <v>2</v>
      </c>
      <c r="AR6" s="0" t="n">
        <v>2</v>
      </c>
      <c r="AS6" s="0" t="n">
        <v>2</v>
      </c>
      <c r="AT6" s="0" t="n">
        <v>2</v>
      </c>
      <c r="AU6" s="0" t="n">
        <v>2</v>
      </c>
      <c r="AV6" s="0" t="n">
        <v>2</v>
      </c>
      <c r="AW6" s="0" t="n">
        <v>2</v>
      </c>
      <c r="AX6" s="0" t="n">
        <v>2</v>
      </c>
      <c r="AY6" s="0" t="n">
        <v>2</v>
      </c>
      <c r="AZ6" s="0" t="n">
        <v>2</v>
      </c>
      <c r="BA6" s="0" t="n">
        <v>2</v>
      </c>
      <c r="BB6" s="0" t="n">
        <v>2</v>
      </c>
      <c r="BC6" s="0" t="n">
        <v>2</v>
      </c>
      <c r="BD6" s="0" t="n">
        <v>2</v>
      </c>
      <c r="BE6" s="0" t="n">
        <v>2</v>
      </c>
      <c r="BF6" s="0" t="n">
        <v>2</v>
      </c>
      <c r="BG6" s="0" t="n">
        <v>2</v>
      </c>
      <c r="BH6" s="0" t="n">
        <v>2</v>
      </c>
    </row>
    <row r="7" customFormat="false" ht="15" hidden="false" customHeight="false" outlineLevel="0" collapsed="false">
      <c r="A7" s="0" t="n">
        <v>6</v>
      </c>
      <c r="B7" s="0" t="s">
        <v>58</v>
      </c>
      <c r="C7" s="0" t="n">
        <v>9.635009</v>
      </c>
      <c r="D7" s="0" t="n">
        <v>9.863213</v>
      </c>
      <c r="E7" s="0" t="n">
        <v>7.678486</v>
      </c>
      <c r="F7" s="0" t="n">
        <v>9.445538</v>
      </c>
      <c r="G7" s="0" t="n">
        <v>9.863588</v>
      </c>
      <c r="H7" s="0" t="n">
        <v>2</v>
      </c>
      <c r="I7" s="0" t="n">
        <v>8.754325</v>
      </c>
      <c r="J7" s="0" t="n">
        <v>8.783788</v>
      </c>
      <c r="K7" s="0" t="n">
        <v>9.486675</v>
      </c>
      <c r="L7" s="0" t="n">
        <v>9.549344</v>
      </c>
      <c r="M7" s="0" t="n">
        <v>8.20481</v>
      </c>
      <c r="N7" s="0" t="n">
        <v>8.387955</v>
      </c>
      <c r="O7" s="0" t="n">
        <v>10</v>
      </c>
      <c r="P7" s="0" t="n">
        <v>8.612306</v>
      </c>
      <c r="Q7" s="0" t="n">
        <v>8.821045</v>
      </c>
      <c r="R7" s="0" t="n">
        <v>8.090478</v>
      </c>
      <c r="S7" s="0" t="n">
        <v>7.249875</v>
      </c>
      <c r="T7" s="0" t="n">
        <v>7.818385</v>
      </c>
      <c r="U7" s="0" t="n">
        <v>7.560775</v>
      </c>
      <c r="V7" s="0" t="n">
        <v>2</v>
      </c>
      <c r="W7" s="0" t="n">
        <v>2</v>
      </c>
      <c r="X7" s="0" t="n">
        <v>2</v>
      </c>
      <c r="Y7" s="0" t="n">
        <v>6.086259</v>
      </c>
      <c r="Z7" s="0" t="n">
        <v>7.311202</v>
      </c>
      <c r="AA7" s="0" t="n">
        <v>2</v>
      </c>
      <c r="AB7" s="0" t="n">
        <v>8.077798</v>
      </c>
      <c r="AC7" s="0" t="n">
        <v>9.765352</v>
      </c>
      <c r="AD7" s="0" t="n">
        <v>2</v>
      </c>
      <c r="AE7" s="0" t="n">
        <v>2</v>
      </c>
      <c r="AF7" s="0" t="n">
        <v>7.234136</v>
      </c>
      <c r="AG7" s="0" t="n">
        <v>2</v>
      </c>
      <c r="AH7" s="0" t="n">
        <v>2</v>
      </c>
      <c r="AI7" s="0" t="n">
        <v>6.756876</v>
      </c>
      <c r="AJ7" s="0" t="n">
        <v>8.033248</v>
      </c>
      <c r="AK7" s="0" t="n">
        <v>8.674621</v>
      </c>
      <c r="AL7" s="0" t="n">
        <v>2</v>
      </c>
      <c r="AM7" s="0" t="n">
        <v>7.615036</v>
      </c>
      <c r="AN7" s="0" t="n">
        <v>6.879682</v>
      </c>
      <c r="AO7" s="0" t="n">
        <v>2</v>
      </c>
      <c r="AP7" s="0" t="n">
        <v>6.30866</v>
      </c>
      <c r="AQ7" s="0" t="n">
        <v>2</v>
      </c>
      <c r="AR7" s="0" t="n">
        <v>6.137806</v>
      </c>
      <c r="AS7" s="0" t="n">
        <v>2</v>
      </c>
      <c r="AT7" s="0" t="n">
        <v>2</v>
      </c>
      <c r="AU7" s="0" t="n">
        <v>2</v>
      </c>
      <c r="AV7" s="0" t="n">
        <v>2</v>
      </c>
      <c r="AW7" s="0" t="n">
        <v>2</v>
      </c>
      <c r="AX7" s="0" t="n">
        <v>2</v>
      </c>
      <c r="AY7" s="0" t="n">
        <v>2</v>
      </c>
      <c r="AZ7" s="0" t="n">
        <v>2</v>
      </c>
      <c r="BA7" s="0" t="n">
        <v>2</v>
      </c>
      <c r="BB7" s="0" t="n">
        <v>2</v>
      </c>
      <c r="BC7" s="0" t="n">
        <v>2</v>
      </c>
      <c r="BD7" s="0" t="n">
        <v>2</v>
      </c>
      <c r="BE7" s="0" t="n">
        <v>2</v>
      </c>
      <c r="BF7" s="0" t="n">
        <v>2</v>
      </c>
      <c r="BG7" s="0" t="n">
        <v>2</v>
      </c>
      <c r="BH7" s="0" t="n">
        <v>2</v>
      </c>
    </row>
    <row r="8" customFormat="false" ht="15" hidden="false" customHeight="false" outlineLevel="0" collapsed="false">
      <c r="A8" s="0" t="n">
        <v>7</v>
      </c>
      <c r="B8" s="0" t="s">
        <v>118</v>
      </c>
      <c r="C8" s="0" t="n">
        <v>9.635009</v>
      </c>
      <c r="D8" s="0" t="n">
        <v>9.863213</v>
      </c>
      <c r="E8" s="0" t="n">
        <v>2</v>
      </c>
      <c r="F8" s="0" t="n">
        <v>9.445538</v>
      </c>
      <c r="G8" s="0" t="n">
        <v>2</v>
      </c>
      <c r="H8" s="0" t="n">
        <v>2</v>
      </c>
      <c r="I8" s="0" t="n">
        <v>2</v>
      </c>
      <c r="J8" s="0" t="n">
        <v>8.783788</v>
      </c>
      <c r="K8" s="0" t="n">
        <v>9.486675</v>
      </c>
      <c r="L8" s="0" t="n">
        <v>9.549344</v>
      </c>
      <c r="M8" s="0" t="n">
        <v>8.20481</v>
      </c>
      <c r="N8" s="0" t="n">
        <v>8.387955</v>
      </c>
      <c r="O8" s="0" t="n">
        <v>10</v>
      </c>
      <c r="P8" s="0" t="n">
        <v>2</v>
      </c>
      <c r="Q8" s="0" t="n">
        <v>8.821045</v>
      </c>
      <c r="R8" s="0" t="n">
        <v>8.090478</v>
      </c>
      <c r="S8" s="0" t="n">
        <v>7.249875</v>
      </c>
      <c r="T8" s="0" t="n">
        <v>2</v>
      </c>
      <c r="U8" s="0" t="n">
        <v>7.560775</v>
      </c>
      <c r="V8" s="0" t="n">
        <v>2</v>
      </c>
      <c r="W8" s="0" t="n">
        <v>2</v>
      </c>
      <c r="X8" s="0" t="n">
        <v>2</v>
      </c>
      <c r="Y8" s="0" t="n">
        <v>2</v>
      </c>
      <c r="Z8" s="0" t="n">
        <v>7.311202</v>
      </c>
      <c r="AA8" s="0" t="n">
        <v>2</v>
      </c>
      <c r="AB8" s="0" t="n">
        <v>8.077798</v>
      </c>
      <c r="AC8" s="0" t="n">
        <v>9.765352</v>
      </c>
      <c r="AD8" s="0" t="n">
        <v>2</v>
      </c>
      <c r="AE8" s="0" t="n">
        <v>2</v>
      </c>
      <c r="AF8" s="0" t="n">
        <v>7.234136</v>
      </c>
      <c r="AG8" s="0" t="n">
        <v>2</v>
      </c>
      <c r="AH8" s="0" t="n">
        <v>2</v>
      </c>
      <c r="AI8" s="0" t="n">
        <v>2</v>
      </c>
      <c r="AJ8" s="0" t="n">
        <v>8.033248</v>
      </c>
      <c r="AK8" s="0" t="n">
        <v>2</v>
      </c>
      <c r="AL8" s="0" t="n">
        <v>2</v>
      </c>
      <c r="AM8" s="0" t="n">
        <v>7.615036</v>
      </c>
      <c r="AN8" s="0" t="n">
        <v>2</v>
      </c>
      <c r="AO8" s="0" t="n">
        <v>2</v>
      </c>
      <c r="AP8" s="0" t="n">
        <v>2</v>
      </c>
      <c r="AQ8" s="0" t="n">
        <v>2</v>
      </c>
      <c r="AR8" s="0" t="n">
        <v>2</v>
      </c>
      <c r="AS8" s="0" t="n">
        <v>2</v>
      </c>
      <c r="AT8" s="0" t="n">
        <v>2</v>
      </c>
      <c r="AU8" s="0" t="n">
        <v>2</v>
      </c>
      <c r="AV8" s="0" t="n">
        <v>2</v>
      </c>
      <c r="AW8" s="0" t="n">
        <v>2</v>
      </c>
      <c r="AX8" s="0" t="n">
        <v>2</v>
      </c>
      <c r="AY8" s="0" t="n">
        <v>2</v>
      </c>
      <c r="AZ8" s="0" t="n">
        <v>2</v>
      </c>
      <c r="BA8" s="0" t="n">
        <v>2</v>
      </c>
      <c r="BB8" s="0" t="n">
        <v>2</v>
      </c>
      <c r="BC8" s="0" t="n">
        <v>2</v>
      </c>
      <c r="BD8" s="0" t="n">
        <v>2</v>
      </c>
      <c r="BE8" s="0" t="n">
        <v>2</v>
      </c>
      <c r="BF8" s="0" t="n">
        <v>2</v>
      </c>
      <c r="BG8" s="0" t="n">
        <v>2</v>
      </c>
      <c r="BH8" s="0" t="n">
        <v>2</v>
      </c>
    </row>
    <row r="9" customFormat="false" ht="15" hidden="false" customHeight="false" outlineLevel="0" collapsed="false">
      <c r="A9" s="0" t="n">
        <v>8</v>
      </c>
      <c r="B9" s="0" t="s">
        <v>26</v>
      </c>
      <c r="C9" s="0" t="n">
        <v>2</v>
      </c>
      <c r="D9" s="0" t="n">
        <v>2</v>
      </c>
      <c r="E9" s="0" t="n">
        <v>2</v>
      </c>
      <c r="F9" s="0" t="n">
        <v>2</v>
      </c>
      <c r="G9" s="0" t="n">
        <v>2</v>
      </c>
      <c r="H9" s="0" t="n">
        <v>2</v>
      </c>
      <c r="I9" s="0" t="n">
        <v>2</v>
      </c>
      <c r="J9" s="0" t="n">
        <v>2</v>
      </c>
      <c r="K9" s="0" t="n">
        <v>2</v>
      </c>
      <c r="L9" s="0" t="n">
        <v>2</v>
      </c>
      <c r="M9" s="0" t="n">
        <v>2</v>
      </c>
      <c r="N9" s="0" t="n">
        <v>2</v>
      </c>
      <c r="O9" s="0" t="n">
        <v>2</v>
      </c>
      <c r="P9" s="0" t="n">
        <v>2</v>
      </c>
      <c r="Q9" s="0" t="n">
        <v>2</v>
      </c>
      <c r="R9" s="0" t="n">
        <v>2</v>
      </c>
      <c r="S9" s="0" t="n">
        <v>2</v>
      </c>
      <c r="T9" s="0" t="n">
        <v>2</v>
      </c>
      <c r="U9" s="0" t="n">
        <v>2</v>
      </c>
      <c r="V9" s="0" t="n">
        <v>2</v>
      </c>
      <c r="W9" s="0" t="n">
        <v>2</v>
      </c>
      <c r="X9" s="0" t="n">
        <v>2</v>
      </c>
      <c r="Y9" s="0" t="n">
        <v>2</v>
      </c>
      <c r="Z9" s="0" t="n">
        <v>2</v>
      </c>
      <c r="AA9" s="0" t="n">
        <v>2</v>
      </c>
      <c r="AB9" s="0" t="n">
        <v>2</v>
      </c>
      <c r="AC9" s="0" t="n">
        <v>2</v>
      </c>
      <c r="AD9" s="0" t="n">
        <v>2</v>
      </c>
      <c r="AE9" s="0" t="n">
        <v>2</v>
      </c>
      <c r="AF9" s="0" t="n">
        <v>2</v>
      </c>
      <c r="AG9" s="0" t="n">
        <v>2</v>
      </c>
      <c r="AH9" s="0" t="n">
        <v>2</v>
      </c>
      <c r="AI9" s="0" t="n">
        <v>2</v>
      </c>
      <c r="AJ9" s="0" t="n">
        <v>2</v>
      </c>
      <c r="AK9" s="0" t="n">
        <v>2</v>
      </c>
      <c r="AL9" s="0" t="n">
        <v>2</v>
      </c>
      <c r="AM9" s="0" t="n">
        <v>2</v>
      </c>
      <c r="AN9" s="0" t="n">
        <v>2</v>
      </c>
      <c r="AO9" s="0" t="n">
        <v>2</v>
      </c>
      <c r="AP9" s="0" t="n">
        <v>2</v>
      </c>
      <c r="AQ9" s="0" t="n">
        <v>2</v>
      </c>
      <c r="AR9" s="0" t="n">
        <v>2</v>
      </c>
      <c r="AS9" s="0" t="n">
        <v>2</v>
      </c>
      <c r="AT9" s="0" t="n">
        <v>2</v>
      </c>
      <c r="AU9" s="0" t="n">
        <v>2</v>
      </c>
      <c r="AV9" s="0" t="n">
        <v>2</v>
      </c>
      <c r="AW9" s="0" t="n">
        <v>2</v>
      </c>
      <c r="AX9" s="0" t="n">
        <v>2</v>
      </c>
      <c r="AY9" s="0" t="n">
        <v>2</v>
      </c>
      <c r="AZ9" s="0" t="n">
        <v>2</v>
      </c>
      <c r="BA9" s="0" t="n">
        <v>2</v>
      </c>
      <c r="BB9" s="0" t="n">
        <v>2</v>
      </c>
      <c r="BC9" s="0" t="n">
        <v>2</v>
      </c>
      <c r="BD9" s="0" t="n">
        <v>2</v>
      </c>
      <c r="BE9" s="0" t="n">
        <v>2</v>
      </c>
      <c r="BF9" s="0" t="n">
        <v>2</v>
      </c>
      <c r="BG9" s="0" t="n">
        <v>2</v>
      </c>
      <c r="BH9" s="0" t="n">
        <v>2</v>
      </c>
    </row>
    <row r="10" customFormat="false" ht="15" hidden="false" customHeight="false" outlineLevel="0" collapsed="false">
      <c r="A10" s="0" t="n">
        <v>9</v>
      </c>
      <c r="B10" s="0" t="s">
        <v>30</v>
      </c>
      <c r="C10" s="0" t="n">
        <v>2</v>
      </c>
      <c r="D10" s="0" t="n">
        <v>2</v>
      </c>
      <c r="E10" s="0" t="n">
        <v>2</v>
      </c>
      <c r="F10" s="0" t="n">
        <v>2</v>
      </c>
      <c r="G10" s="0" t="n">
        <v>2</v>
      </c>
      <c r="H10" s="0" t="n">
        <v>2</v>
      </c>
      <c r="I10" s="0" t="n">
        <v>2</v>
      </c>
      <c r="J10" s="0" t="n">
        <v>2</v>
      </c>
      <c r="K10" s="0" t="n">
        <v>2</v>
      </c>
      <c r="L10" s="0" t="n">
        <v>2</v>
      </c>
      <c r="M10" s="0" t="n">
        <v>2</v>
      </c>
      <c r="N10" s="0" t="n">
        <v>2</v>
      </c>
      <c r="O10" s="0" t="n">
        <v>2</v>
      </c>
      <c r="P10" s="0" t="n">
        <v>2</v>
      </c>
      <c r="Q10" s="0" t="n">
        <v>2</v>
      </c>
      <c r="R10" s="0" t="n">
        <v>2</v>
      </c>
      <c r="S10" s="0" t="n">
        <v>2</v>
      </c>
      <c r="T10" s="0" t="n">
        <v>2</v>
      </c>
      <c r="U10" s="0" t="n">
        <v>2</v>
      </c>
      <c r="V10" s="0" t="n">
        <v>2</v>
      </c>
      <c r="W10" s="0" t="n">
        <v>2</v>
      </c>
      <c r="X10" s="0" t="n">
        <v>2</v>
      </c>
      <c r="Y10" s="0" t="n">
        <v>2</v>
      </c>
      <c r="Z10" s="0" t="n">
        <v>2</v>
      </c>
      <c r="AA10" s="0" t="n">
        <v>2</v>
      </c>
      <c r="AB10" s="0" t="n">
        <v>2</v>
      </c>
      <c r="AC10" s="0" t="n">
        <v>2</v>
      </c>
      <c r="AD10" s="0" t="n">
        <v>2</v>
      </c>
      <c r="AE10" s="0" t="n">
        <v>2</v>
      </c>
      <c r="AF10" s="0" t="n">
        <v>2</v>
      </c>
      <c r="AG10" s="0" t="n">
        <v>2</v>
      </c>
      <c r="AH10" s="0" t="n">
        <v>2</v>
      </c>
      <c r="AI10" s="0" t="n">
        <v>2</v>
      </c>
      <c r="AJ10" s="0" t="n">
        <v>2</v>
      </c>
      <c r="AK10" s="0" t="n">
        <v>2</v>
      </c>
      <c r="AL10" s="0" t="n">
        <v>2</v>
      </c>
      <c r="AM10" s="0" t="n">
        <v>2</v>
      </c>
      <c r="AN10" s="0" t="n">
        <v>2</v>
      </c>
      <c r="AO10" s="0" t="n">
        <v>2</v>
      </c>
      <c r="AP10" s="0" t="n">
        <v>2</v>
      </c>
      <c r="AQ10" s="0" t="n">
        <v>2</v>
      </c>
      <c r="AR10" s="0" t="n">
        <v>2</v>
      </c>
      <c r="AS10" s="0" t="n">
        <v>2</v>
      </c>
      <c r="AT10" s="0" t="n">
        <v>2</v>
      </c>
      <c r="AU10" s="0" t="n">
        <v>2</v>
      </c>
      <c r="AV10" s="0" t="n">
        <v>2</v>
      </c>
      <c r="AW10" s="0" t="n">
        <v>2</v>
      </c>
      <c r="AX10" s="0" t="n">
        <v>2</v>
      </c>
      <c r="AY10" s="0" t="n">
        <v>2</v>
      </c>
      <c r="AZ10" s="0" t="n">
        <v>2</v>
      </c>
      <c r="BA10" s="0" t="n">
        <v>2</v>
      </c>
      <c r="BB10" s="0" t="n">
        <v>2</v>
      </c>
      <c r="BC10" s="0" t="n">
        <v>2</v>
      </c>
      <c r="BD10" s="0" t="n">
        <v>2</v>
      </c>
      <c r="BE10" s="0" t="n">
        <v>2</v>
      </c>
      <c r="BF10" s="0" t="n">
        <v>2</v>
      </c>
      <c r="BG10" s="0" t="n">
        <v>2</v>
      </c>
      <c r="BH10" s="0" t="n">
        <v>2</v>
      </c>
    </row>
    <row r="11" customFormat="false" ht="15" hidden="false" customHeight="false" outlineLevel="0" collapsed="false">
      <c r="A11" s="0" t="n">
        <v>10</v>
      </c>
      <c r="B11" s="0" t="s">
        <v>97</v>
      </c>
      <c r="C11" s="0" t="n">
        <v>2</v>
      </c>
      <c r="D11" s="0" t="n">
        <v>2</v>
      </c>
      <c r="E11" s="0" t="n">
        <v>2</v>
      </c>
      <c r="F11" s="0" t="n">
        <v>2</v>
      </c>
      <c r="G11" s="0" t="n">
        <v>2</v>
      </c>
      <c r="H11" s="0" t="n">
        <v>2</v>
      </c>
      <c r="I11" s="0" t="n">
        <v>2</v>
      </c>
      <c r="J11" s="0" t="n">
        <v>2</v>
      </c>
      <c r="K11" s="0" t="n">
        <v>2</v>
      </c>
      <c r="L11" s="0" t="n">
        <v>2</v>
      </c>
      <c r="M11" s="0" t="n">
        <v>2</v>
      </c>
      <c r="N11" s="0" t="n">
        <v>2</v>
      </c>
      <c r="O11" s="0" t="n">
        <v>2</v>
      </c>
      <c r="P11" s="0" t="n">
        <v>2</v>
      </c>
      <c r="Q11" s="0" t="n">
        <v>2</v>
      </c>
      <c r="R11" s="0" t="n">
        <v>2</v>
      </c>
      <c r="S11" s="0" t="n">
        <v>2</v>
      </c>
      <c r="T11" s="0" t="n">
        <v>2</v>
      </c>
      <c r="U11" s="0" t="n">
        <v>2</v>
      </c>
      <c r="V11" s="0" t="n">
        <v>2</v>
      </c>
      <c r="W11" s="0" t="n">
        <v>2</v>
      </c>
      <c r="X11" s="0" t="n">
        <v>2</v>
      </c>
      <c r="Y11" s="0" t="n">
        <v>2</v>
      </c>
      <c r="Z11" s="0" t="n">
        <v>2</v>
      </c>
      <c r="AA11" s="0" t="n">
        <v>2</v>
      </c>
      <c r="AB11" s="0" t="n">
        <v>2</v>
      </c>
      <c r="AC11" s="0" t="n">
        <v>2</v>
      </c>
      <c r="AD11" s="0" t="n">
        <v>2</v>
      </c>
      <c r="AE11" s="0" t="n">
        <v>2</v>
      </c>
      <c r="AF11" s="0" t="n">
        <v>2</v>
      </c>
      <c r="AG11" s="0" t="n">
        <v>2</v>
      </c>
      <c r="AH11" s="0" t="n">
        <v>2</v>
      </c>
      <c r="AI11" s="0" t="n">
        <v>2</v>
      </c>
      <c r="AJ11" s="0" t="n">
        <v>2</v>
      </c>
      <c r="AK11" s="0" t="n">
        <v>2</v>
      </c>
      <c r="AL11" s="0" t="n">
        <v>2</v>
      </c>
      <c r="AM11" s="0" t="n">
        <v>2</v>
      </c>
      <c r="AN11" s="0" t="n">
        <v>2</v>
      </c>
      <c r="AO11" s="0" t="n">
        <v>2</v>
      </c>
      <c r="AP11" s="0" t="n">
        <v>2</v>
      </c>
      <c r="AQ11" s="0" t="n">
        <v>2</v>
      </c>
      <c r="AR11" s="0" t="n">
        <v>2</v>
      </c>
      <c r="AS11" s="0" t="n">
        <v>2</v>
      </c>
      <c r="AT11" s="0" t="n">
        <v>2</v>
      </c>
      <c r="AU11" s="0" t="n">
        <v>2</v>
      </c>
      <c r="AV11" s="0" t="n">
        <v>2</v>
      </c>
      <c r="AW11" s="0" t="n">
        <v>2</v>
      </c>
      <c r="AX11" s="0" t="n">
        <v>2</v>
      </c>
      <c r="AY11" s="0" t="n">
        <v>2</v>
      </c>
      <c r="AZ11" s="0" t="n">
        <v>2</v>
      </c>
      <c r="BA11" s="0" t="n">
        <v>2</v>
      </c>
      <c r="BB11" s="0" t="n">
        <v>2</v>
      </c>
      <c r="BC11" s="0" t="n">
        <v>2</v>
      </c>
      <c r="BD11" s="0" t="n">
        <v>2</v>
      </c>
      <c r="BE11" s="0" t="n">
        <v>2</v>
      </c>
      <c r="BF11" s="0" t="n">
        <v>2</v>
      </c>
      <c r="BG11" s="0" t="n">
        <v>2</v>
      </c>
      <c r="BH11" s="0" t="n">
        <v>2</v>
      </c>
    </row>
    <row r="12" customFormat="false" ht="15" hidden="false" customHeight="false" outlineLevel="0" collapsed="false">
      <c r="A12" s="0" t="n">
        <v>11</v>
      </c>
      <c r="B12" s="0" t="s">
        <v>34</v>
      </c>
      <c r="C12" s="0" t="n">
        <v>2</v>
      </c>
      <c r="D12" s="0" t="n">
        <v>2</v>
      </c>
      <c r="E12" s="0" t="n">
        <v>2</v>
      </c>
      <c r="F12" s="0" t="n">
        <v>2</v>
      </c>
      <c r="G12" s="0" t="n">
        <v>2</v>
      </c>
      <c r="H12" s="0" t="n">
        <v>2</v>
      </c>
      <c r="I12" s="0" t="n">
        <v>2</v>
      </c>
      <c r="J12" s="0" t="n">
        <v>2</v>
      </c>
      <c r="K12" s="0" t="n">
        <v>9.486675</v>
      </c>
      <c r="L12" s="0" t="n">
        <v>2</v>
      </c>
      <c r="M12" s="0" t="n">
        <v>2</v>
      </c>
      <c r="N12" s="0" t="n">
        <v>2</v>
      </c>
      <c r="O12" s="0" t="n">
        <v>2</v>
      </c>
      <c r="P12" s="0" t="n">
        <v>2</v>
      </c>
      <c r="Q12" s="0" t="n">
        <v>2</v>
      </c>
      <c r="R12" s="0" t="n">
        <v>2</v>
      </c>
      <c r="S12" s="0" t="n">
        <v>2</v>
      </c>
      <c r="T12" s="0" t="n">
        <v>2</v>
      </c>
      <c r="U12" s="0" t="n">
        <v>2</v>
      </c>
      <c r="V12" s="0" t="n">
        <v>2</v>
      </c>
      <c r="W12" s="0" t="n">
        <v>2</v>
      </c>
      <c r="X12" s="0" t="n">
        <v>2</v>
      </c>
      <c r="Y12" s="0" t="n">
        <v>2</v>
      </c>
      <c r="Z12" s="0" t="n">
        <v>2</v>
      </c>
      <c r="AA12" s="0" t="n">
        <v>2</v>
      </c>
      <c r="AB12" s="0" t="n">
        <v>2</v>
      </c>
      <c r="AC12" s="0" t="n">
        <v>2</v>
      </c>
      <c r="AD12" s="0" t="n">
        <v>2</v>
      </c>
      <c r="AE12" s="0" t="n">
        <v>2</v>
      </c>
      <c r="AF12" s="0" t="n">
        <v>2</v>
      </c>
      <c r="AG12" s="0" t="n">
        <v>2</v>
      </c>
      <c r="AH12" s="0" t="n">
        <v>2</v>
      </c>
      <c r="AI12" s="0" t="n">
        <v>2</v>
      </c>
      <c r="AJ12" s="0" t="n">
        <v>2</v>
      </c>
      <c r="AK12" s="0" t="n">
        <v>2</v>
      </c>
      <c r="AL12" s="0" t="n">
        <v>2</v>
      </c>
      <c r="AM12" s="0" t="n">
        <v>2</v>
      </c>
      <c r="AN12" s="0" t="n">
        <v>2</v>
      </c>
      <c r="AO12" s="0" t="n">
        <v>2</v>
      </c>
      <c r="AP12" s="0" t="n">
        <v>2</v>
      </c>
      <c r="AQ12" s="0" t="n">
        <v>2</v>
      </c>
      <c r="AR12" s="0" t="n">
        <v>2</v>
      </c>
      <c r="AS12" s="0" t="n">
        <v>2</v>
      </c>
      <c r="AT12" s="0" t="n">
        <v>2</v>
      </c>
      <c r="AU12" s="0" t="n">
        <v>2</v>
      </c>
      <c r="AV12" s="0" t="n">
        <v>2</v>
      </c>
      <c r="AW12" s="0" t="n">
        <v>2</v>
      </c>
      <c r="AX12" s="0" t="n">
        <v>2</v>
      </c>
      <c r="AY12" s="0" t="n">
        <v>2</v>
      </c>
      <c r="AZ12" s="0" t="n">
        <v>2</v>
      </c>
      <c r="BA12" s="0" t="n">
        <v>2</v>
      </c>
      <c r="BB12" s="0" t="n">
        <v>2</v>
      </c>
      <c r="BC12" s="0" t="n">
        <v>2</v>
      </c>
      <c r="BD12" s="0" t="n">
        <v>2</v>
      </c>
      <c r="BE12" s="0" t="n">
        <v>2</v>
      </c>
      <c r="BF12" s="0" t="n">
        <v>2</v>
      </c>
      <c r="BG12" s="0" t="n">
        <v>2</v>
      </c>
      <c r="BH12" s="0" t="n">
        <v>2</v>
      </c>
    </row>
    <row r="13" customFormat="false" ht="15" hidden="false" customHeight="false" outlineLevel="0" collapsed="false">
      <c r="A13" s="0" t="n">
        <v>12</v>
      </c>
      <c r="B13" s="0" t="s">
        <v>35</v>
      </c>
      <c r="C13" s="0" t="n">
        <v>2</v>
      </c>
      <c r="D13" s="0" t="n">
        <v>2</v>
      </c>
      <c r="E13" s="0" t="n">
        <v>2</v>
      </c>
      <c r="F13" s="0" t="n">
        <v>2</v>
      </c>
      <c r="G13" s="0" t="n">
        <v>2</v>
      </c>
      <c r="H13" s="0" t="n">
        <v>2</v>
      </c>
      <c r="I13" s="0" t="n">
        <v>2</v>
      </c>
      <c r="J13" s="0" t="n">
        <v>2</v>
      </c>
      <c r="K13" s="0" t="n">
        <v>2</v>
      </c>
      <c r="L13" s="0" t="n">
        <v>2</v>
      </c>
      <c r="M13" s="0" t="n">
        <v>2</v>
      </c>
      <c r="N13" s="0" t="n">
        <v>2</v>
      </c>
      <c r="O13" s="0" t="n">
        <v>2</v>
      </c>
      <c r="P13" s="0" t="n">
        <v>2</v>
      </c>
      <c r="Q13" s="0" t="n">
        <v>2</v>
      </c>
      <c r="R13" s="0" t="n">
        <v>2</v>
      </c>
      <c r="S13" s="0" t="n">
        <v>2</v>
      </c>
      <c r="T13" s="0" t="n">
        <v>2</v>
      </c>
      <c r="U13" s="0" t="n">
        <v>2</v>
      </c>
      <c r="V13" s="0" t="n">
        <v>2</v>
      </c>
      <c r="W13" s="0" t="n">
        <v>2</v>
      </c>
      <c r="X13" s="0" t="n">
        <v>2</v>
      </c>
      <c r="Y13" s="0" t="n">
        <v>2</v>
      </c>
      <c r="Z13" s="0" t="n">
        <v>2</v>
      </c>
      <c r="AA13" s="0" t="n">
        <v>2</v>
      </c>
      <c r="AB13" s="0" t="n">
        <v>2</v>
      </c>
      <c r="AC13" s="0" t="n">
        <v>2</v>
      </c>
      <c r="AD13" s="0" t="n">
        <v>2</v>
      </c>
      <c r="AE13" s="0" t="n">
        <v>2</v>
      </c>
      <c r="AF13" s="0" t="n">
        <v>2</v>
      </c>
      <c r="AG13" s="0" t="n">
        <v>2</v>
      </c>
      <c r="AH13" s="0" t="n">
        <v>2</v>
      </c>
      <c r="AI13" s="0" t="n">
        <v>2</v>
      </c>
      <c r="AJ13" s="0" t="n">
        <v>2</v>
      </c>
      <c r="AK13" s="0" t="n">
        <v>2</v>
      </c>
      <c r="AL13" s="0" t="n">
        <v>2</v>
      </c>
      <c r="AM13" s="0" t="n">
        <v>2</v>
      </c>
      <c r="AN13" s="0" t="n">
        <v>2</v>
      </c>
      <c r="AO13" s="0" t="n">
        <v>2</v>
      </c>
      <c r="AP13" s="0" t="n">
        <v>2</v>
      </c>
      <c r="AQ13" s="0" t="n">
        <v>2</v>
      </c>
      <c r="AR13" s="0" t="n">
        <v>2</v>
      </c>
      <c r="AS13" s="0" t="n">
        <v>2</v>
      </c>
      <c r="AT13" s="0" t="n">
        <v>2</v>
      </c>
      <c r="AU13" s="0" t="n">
        <v>2</v>
      </c>
      <c r="AV13" s="0" t="n">
        <v>2</v>
      </c>
      <c r="AW13" s="0" t="n">
        <v>2</v>
      </c>
      <c r="AX13" s="0" t="n">
        <v>2</v>
      </c>
      <c r="AY13" s="0" t="n">
        <v>2</v>
      </c>
      <c r="AZ13" s="0" t="n">
        <v>2</v>
      </c>
      <c r="BA13" s="0" t="n">
        <v>2</v>
      </c>
      <c r="BB13" s="0" t="n">
        <v>2</v>
      </c>
      <c r="BC13" s="0" t="n">
        <v>2</v>
      </c>
      <c r="BD13" s="0" t="n">
        <v>2</v>
      </c>
      <c r="BE13" s="0" t="n">
        <v>2</v>
      </c>
      <c r="BF13" s="0" t="n">
        <v>2</v>
      </c>
      <c r="BG13" s="0" t="n">
        <v>2</v>
      </c>
      <c r="BH13" s="0" t="n">
        <v>2</v>
      </c>
    </row>
    <row r="14" customFormat="false" ht="15" hidden="false" customHeight="false" outlineLevel="0" collapsed="false">
      <c r="A14" s="0" t="n">
        <v>13</v>
      </c>
      <c r="B14" s="0" t="s">
        <v>99</v>
      </c>
      <c r="C14" s="0" t="n">
        <v>2</v>
      </c>
      <c r="D14" s="0" t="n">
        <v>2</v>
      </c>
      <c r="E14" s="0" t="n">
        <v>2</v>
      </c>
      <c r="F14" s="0" t="n">
        <v>2</v>
      </c>
      <c r="G14" s="0" t="n">
        <v>2</v>
      </c>
      <c r="H14" s="0" t="n">
        <v>2</v>
      </c>
      <c r="I14" s="0" t="n">
        <v>2</v>
      </c>
      <c r="J14" s="0" t="n">
        <v>2</v>
      </c>
      <c r="K14" s="0" t="n">
        <v>2</v>
      </c>
      <c r="L14" s="0" t="n">
        <v>2</v>
      </c>
      <c r="M14" s="0" t="n">
        <v>2</v>
      </c>
      <c r="N14" s="0" t="n">
        <v>2</v>
      </c>
      <c r="O14" s="0" t="n">
        <v>2</v>
      </c>
      <c r="P14" s="0" t="n">
        <v>2</v>
      </c>
      <c r="Q14" s="0" t="n">
        <v>2</v>
      </c>
      <c r="R14" s="0" t="n">
        <v>2</v>
      </c>
      <c r="S14" s="0" t="n">
        <v>2</v>
      </c>
      <c r="T14" s="0" t="n">
        <v>2</v>
      </c>
      <c r="U14" s="0" t="n">
        <v>2</v>
      </c>
      <c r="V14" s="0" t="n">
        <v>2</v>
      </c>
      <c r="W14" s="0" t="n">
        <v>2</v>
      </c>
      <c r="X14" s="0" t="n">
        <v>2</v>
      </c>
      <c r="Y14" s="0" t="n">
        <v>2</v>
      </c>
      <c r="Z14" s="0" t="n">
        <v>2</v>
      </c>
      <c r="AA14" s="0" t="n">
        <v>2</v>
      </c>
      <c r="AB14" s="0" t="n">
        <v>2</v>
      </c>
      <c r="AC14" s="0" t="n">
        <v>2</v>
      </c>
      <c r="AD14" s="0" t="n">
        <v>2</v>
      </c>
      <c r="AE14" s="0" t="n">
        <v>2</v>
      </c>
      <c r="AF14" s="0" t="n">
        <v>2</v>
      </c>
      <c r="AG14" s="0" t="n">
        <v>2</v>
      </c>
      <c r="AH14" s="0" t="n">
        <v>2</v>
      </c>
      <c r="AI14" s="0" t="n">
        <v>2</v>
      </c>
      <c r="AJ14" s="0" t="n">
        <v>2</v>
      </c>
      <c r="AK14" s="0" t="n">
        <v>2</v>
      </c>
      <c r="AL14" s="0" t="n">
        <v>2</v>
      </c>
      <c r="AM14" s="0" t="n">
        <v>2</v>
      </c>
      <c r="AN14" s="0" t="n">
        <v>2</v>
      </c>
      <c r="AO14" s="0" t="n">
        <v>2</v>
      </c>
      <c r="AP14" s="0" t="n">
        <v>2</v>
      </c>
      <c r="AQ14" s="0" t="n">
        <v>2</v>
      </c>
      <c r="AR14" s="0" t="n">
        <v>2</v>
      </c>
      <c r="AS14" s="0" t="n">
        <v>2</v>
      </c>
      <c r="AT14" s="0" t="n">
        <v>2</v>
      </c>
      <c r="AU14" s="0" t="n">
        <v>2</v>
      </c>
      <c r="AV14" s="0" t="n">
        <v>2</v>
      </c>
      <c r="AW14" s="0" t="n">
        <v>2</v>
      </c>
      <c r="AX14" s="0" t="n">
        <v>2</v>
      </c>
      <c r="AY14" s="0" t="n">
        <v>2</v>
      </c>
      <c r="AZ14" s="0" t="n">
        <v>2</v>
      </c>
      <c r="BA14" s="0" t="n">
        <v>2</v>
      </c>
      <c r="BB14" s="0" t="n">
        <v>2</v>
      </c>
      <c r="BC14" s="0" t="n">
        <v>2</v>
      </c>
      <c r="BD14" s="0" t="n">
        <v>2</v>
      </c>
      <c r="BE14" s="0" t="n">
        <v>2</v>
      </c>
      <c r="BF14" s="0" t="n">
        <v>2</v>
      </c>
      <c r="BG14" s="0" t="n">
        <v>2</v>
      </c>
      <c r="BH14" s="0" t="n">
        <v>2</v>
      </c>
    </row>
    <row r="15" customFormat="false" ht="15" hidden="false" customHeight="false" outlineLevel="0" collapsed="false">
      <c r="A15" s="0" t="n">
        <v>14</v>
      </c>
      <c r="B15" s="0" t="s">
        <v>36</v>
      </c>
      <c r="C15" s="0" t="n">
        <v>2</v>
      </c>
      <c r="D15" s="0" t="n">
        <v>2</v>
      </c>
      <c r="E15" s="0" t="n">
        <v>2</v>
      </c>
      <c r="F15" s="0" t="n">
        <v>2</v>
      </c>
      <c r="G15" s="0" t="n">
        <v>2</v>
      </c>
      <c r="H15" s="0" t="n">
        <v>2</v>
      </c>
      <c r="I15" s="0" t="n">
        <v>2</v>
      </c>
      <c r="J15" s="0" t="n">
        <v>2</v>
      </c>
      <c r="K15" s="0" t="n">
        <v>2</v>
      </c>
      <c r="L15" s="0" t="n">
        <v>2</v>
      </c>
      <c r="M15" s="0" t="n">
        <v>2</v>
      </c>
      <c r="N15" s="0" t="n">
        <v>2</v>
      </c>
      <c r="O15" s="0" t="n">
        <v>2</v>
      </c>
      <c r="P15" s="0" t="n">
        <v>2</v>
      </c>
      <c r="Q15" s="0" t="n">
        <v>2</v>
      </c>
      <c r="R15" s="0" t="n">
        <v>2</v>
      </c>
      <c r="S15" s="0" t="n">
        <v>2</v>
      </c>
      <c r="T15" s="0" t="n">
        <v>2</v>
      </c>
      <c r="U15" s="0" t="n">
        <v>2</v>
      </c>
      <c r="V15" s="0" t="n">
        <v>2</v>
      </c>
      <c r="W15" s="0" t="n">
        <v>2</v>
      </c>
      <c r="X15" s="0" t="n">
        <v>2</v>
      </c>
      <c r="Y15" s="0" t="n">
        <v>2</v>
      </c>
      <c r="Z15" s="0" t="n">
        <v>2</v>
      </c>
      <c r="AA15" s="0" t="n">
        <v>2</v>
      </c>
      <c r="AB15" s="0" t="n">
        <v>2</v>
      </c>
      <c r="AC15" s="0" t="n">
        <v>9.765352</v>
      </c>
      <c r="AD15" s="0" t="n">
        <v>2</v>
      </c>
      <c r="AE15" s="0" t="n">
        <v>2</v>
      </c>
      <c r="AF15" s="0" t="n">
        <v>2</v>
      </c>
      <c r="AG15" s="0" t="n">
        <v>2</v>
      </c>
      <c r="AH15" s="0" t="n">
        <v>2</v>
      </c>
      <c r="AI15" s="0" t="n">
        <v>2</v>
      </c>
      <c r="AJ15" s="0" t="n">
        <v>8.033248</v>
      </c>
      <c r="AK15" s="0" t="n">
        <v>2</v>
      </c>
      <c r="AL15" s="0" t="n">
        <v>2</v>
      </c>
      <c r="AM15" s="0" t="n">
        <v>2</v>
      </c>
      <c r="AN15" s="0" t="n">
        <v>2</v>
      </c>
      <c r="AO15" s="0" t="n">
        <v>2</v>
      </c>
      <c r="AP15" s="0" t="n">
        <v>2</v>
      </c>
      <c r="AQ15" s="0" t="n">
        <v>2</v>
      </c>
      <c r="AR15" s="0" t="n">
        <v>2</v>
      </c>
      <c r="AS15" s="0" t="n">
        <v>2</v>
      </c>
      <c r="AT15" s="0" t="n">
        <v>2</v>
      </c>
      <c r="AU15" s="0" t="n">
        <v>2</v>
      </c>
      <c r="AV15" s="0" t="n">
        <v>2</v>
      </c>
      <c r="AW15" s="0" t="n">
        <v>2</v>
      </c>
      <c r="AX15" s="0" t="n">
        <v>2</v>
      </c>
      <c r="AY15" s="0" t="n">
        <v>2</v>
      </c>
      <c r="AZ15" s="0" t="n">
        <v>2</v>
      </c>
      <c r="BA15" s="0" t="n">
        <v>2</v>
      </c>
      <c r="BB15" s="0" t="n">
        <v>2</v>
      </c>
      <c r="BC15" s="0" t="n">
        <v>2</v>
      </c>
      <c r="BD15" s="0" t="n">
        <v>2</v>
      </c>
      <c r="BE15" s="0" t="n">
        <v>2</v>
      </c>
      <c r="BF15" s="0" t="n">
        <v>2</v>
      </c>
      <c r="BG15" s="0" t="n">
        <v>2</v>
      </c>
      <c r="BH15" s="0" t="n">
        <v>2</v>
      </c>
    </row>
    <row r="16" customFormat="false" ht="15" hidden="false" customHeight="false" outlineLevel="0" collapsed="false">
      <c r="A16" s="0" t="n">
        <v>15</v>
      </c>
      <c r="B16" s="0" t="s">
        <v>105</v>
      </c>
      <c r="C16" s="0" t="n">
        <v>2</v>
      </c>
      <c r="D16" s="0" t="n">
        <v>2</v>
      </c>
      <c r="E16" s="0" t="n">
        <v>2</v>
      </c>
      <c r="F16" s="0" t="n">
        <v>9.445538</v>
      </c>
      <c r="G16" s="0" t="n">
        <v>2</v>
      </c>
      <c r="H16" s="0" t="n">
        <v>2</v>
      </c>
      <c r="I16" s="0" t="n">
        <v>2</v>
      </c>
      <c r="J16" s="0" t="n">
        <v>2</v>
      </c>
      <c r="K16" s="0" t="n">
        <v>2</v>
      </c>
      <c r="L16" s="0" t="n">
        <v>2</v>
      </c>
      <c r="M16" s="0" t="n">
        <v>2</v>
      </c>
      <c r="N16" s="0" t="n">
        <v>2</v>
      </c>
      <c r="O16" s="0" t="n">
        <v>2</v>
      </c>
      <c r="P16" s="0" t="n">
        <v>2</v>
      </c>
      <c r="Q16" s="0" t="n">
        <v>2</v>
      </c>
      <c r="R16" s="0" t="n">
        <v>2</v>
      </c>
      <c r="S16" s="0" t="n">
        <v>2</v>
      </c>
      <c r="T16" s="0" t="n">
        <v>2</v>
      </c>
      <c r="U16" s="0" t="n">
        <v>2</v>
      </c>
      <c r="V16" s="0" t="n">
        <v>2</v>
      </c>
      <c r="W16" s="0" t="n">
        <v>2</v>
      </c>
      <c r="X16" s="0" t="n">
        <v>2</v>
      </c>
      <c r="Y16" s="0" t="n">
        <v>2</v>
      </c>
      <c r="Z16" s="0" t="n">
        <v>2</v>
      </c>
      <c r="AA16" s="0" t="n">
        <v>2</v>
      </c>
      <c r="AB16" s="0" t="n">
        <v>2</v>
      </c>
      <c r="AC16" s="0" t="n">
        <v>2</v>
      </c>
      <c r="AD16" s="0" t="n">
        <v>2</v>
      </c>
      <c r="AE16" s="0" t="n">
        <v>2</v>
      </c>
      <c r="AF16" s="0" t="n">
        <v>2</v>
      </c>
      <c r="AG16" s="0" t="n">
        <v>2</v>
      </c>
      <c r="AH16" s="0" t="n">
        <v>2</v>
      </c>
      <c r="AI16" s="0" t="n">
        <v>2</v>
      </c>
      <c r="AJ16" s="0" t="n">
        <v>2</v>
      </c>
      <c r="AK16" s="0" t="n">
        <v>2</v>
      </c>
      <c r="AL16" s="0" t="n">
        <v>2</v>
      </c>
      <c r="AM16" s="0" t="n">
        <v>2</v>
      </c>
      <c r="AN16" s="0" t="n">
        <v>2</v>
      </c>
      <c r="AO16" s="0" t="n">
        <v>2</v>
      </c>
      <c r="AP16" s="0" t="n">
        <v>2</v>
      </c>
      <c r="AQ16" s="0" t="n">
        <v>2</v>
      </c>
      <c r="AR16" s="0" t="n">
        <v>2</v>
      </c>
      <c r="AS16" s="0" t="n">
        <v>2</v>
      </c>
      <c r="AT16" s="0" t="n">
        <v>2</v>
      </c>
      <c r="AU16" s="0" t="n">
        <v>2</v>
      </c>
      <c r="AV16" s="0" t="n">
        <v>2</v>
      </c>
      <c r="AW16" s="0" t="n">
        <v>2</v>
      </c>
      <c r="AX16" s="0" t="n">
        <v>2</v>
      </c>
      <c r="AY16" s="0" t="n">
        <v>2</v>
      </c>
      <c r="AZ16" s="0" t="n">
        <v>2</v>
      </c>
      <c r="BA16" s="0" t="n">
        <v>2</v>
      </c>
      <c r="BB16" s="0" t="n">
        <v>2</v>
      </c>
      <c r="BC16" s="0" t="n">
        <v>2</v>
      </c>
      <c r="BD16" s="0" t="n">
        <v>2</v>
      </c>
      <c r="BE16" s="0" t="n">
        <v>2</v>
      </c>
      <c r="BF16" s="0" t="n">
        <v>2</v>
      </c>
      <c r="BG16" s="0" t="n">
        <v>2</v>
      </c>
      <c r="BH16" s="0" t="n">
        <v>2</v>
      </c>
    </row>
    <row r="17" customFormat="false" ht="15" hidden="false" customHeight="false" outlineLevel="0" collapsed="false">
      <c r="A17" s="0" t="n">
        <v>16</v>
      </c>
      <c r="B17" s="0" t="s">
        <v>119</v>
      </c>
      <c r="C17" s="0" t="n">
        <v>2</v>
      </c>
      <c r="D17" s="0" t="n">
        <v>2</v>
      </c>
      <c r="E17" s="0" t="n">
        <v>2</v>
      </c>
      <c r="F17" s="0" t="n">
        <v>9.445538</v>
      </c>
      <c r="G17" s="0" t="n">
        <v>2</v>
      </c>
      <c r="H17" s="0" t="n">
        <v>2</v>
      </c>
      <c r="I17" s="0" t="n">
        <v>2</v>
      </c>
      <c r="J17" s="0" t="n">
        <v>2</v>
      </c>
      <c r="K17" s="0" t="n">
        <v>2</v>
      </c>
      <c r="L17" s="0" t="n">
        <v>9.549344</v>
      </c>
      <c r="M17" s="0" t="n">
        <v>2</v>
      </c>
      <c r="N17" s="0" t="n">
        <v>2</v>
      </c>
      <c r="O17" s="0" t="n">
        <v>2</v>
      </c>
      <c r="P17" s="0" t="n">
        <v>2</v>
      </c>
      <c r="Q17" s="0" t="n">
        <v>8.821045</v>
      </c>
      <c r="R17" s="0" t="n">
        <v>2</v>
      </c>
      <c r="S17" s="0" t="n">
        <v>2</v>
      </c>
      <c r="T17" s="0" t="n">
        <v>2</v>
      </c>
      <c r="U17" s="0" t="n">
        <v>2</v>
      </c>
      <c r="V17" s="0" t="n">
        <v>2</v>
      </c>
      <c r="W17" s="0" t="n">
        <v>2</v>
      </c>
      <c r="X17" s="0" t="n">
        <v>2</v>
      </c>
      <c r="Y17" s="0" t="n">
        <v>2</v>
      </c>
      <c r="Z17" s="0" t="n">
        <v>2</v>
      </c>
      <c r="AA17" s="0" t="n">
        <v>2</v>
      </c>
      <c r="AB17" s="0" t="n">
        <v>2</v>
      </c>
      <c r="AC17" s="0" t="n">
        <v>2</v>
      </c>
      <c r="AD17" s="0" t="n">
        <v>2</v>
      </c>
      <c r="AE17" s="0" t="n">
        <v>2</v>
      </c>
      <c r="AF17" s="0" t="n">
        <v>2</v>
      </c>
      <c r="AG17" s="0" t="n">
        <v>2</v>
      </c>
      <c r="AH17" s="0" t="n">
        <v>2</v>
      </c>
      <c r="AI17" s="0" t="n">
        <v>2</v>
      </c>
      <c r="AJ17" s="0" t="n">
        <v>8.033248</v>
      </c>
      <c r="AK17" s="0" t="n">
        <v>2</v>
      </c>
      <c r="AL17" s="0" t="n">
        <v>2</v>
      </c>
      <c r="AM17" s="0" t="n">
        <v>2</v>
      </c>
      <c r="AN17" s="0" t="n">
        <v>2</v>
      </c>
      <c r="AO17" s="0" t="n">
        <v>2</v>
      </c>
      <c r="AP17" s="0" t="n">
        <v>2</v>
      </c>
      <c r="AQ17" s="0" t="n">
        <v>2</v>
      </c>
      <c r="AR17" s="0" t="n">
        <v>2</v>
      </c>
      <c r="AS17" s="0" t="n">
        <v>2</v>
      </c>
      <c r="AT17" s="0" t="n">
        <v>2</v>
      </c>
      <c r="AU17" s="0" t="n">
        <v>2</v>
      </c>
      <c r="AV17" s="0" t="n">
        <v>2</v>
      </c>
      <c r="AW17" s="0" t="n">
        <v>2</v>
      </c>
      <c r="AX17" s="0" t="n">
        <v>2</v>
      </c>
      <c r="AY17" s="0" t="n">
        <v>2</v>
      </c>
      <c r="AZ17" s="0" t="n">
        <v>2</v>
      </c>
      <c r="BA17" s="0" t="n">
        <v>2</v>
      </c>
      <c r="BB17" s="0" t="n">
        <v>2</v>
      </c>
      <c r="BC17" s="0" t="n">
        <v>2</v>
      </c>
      <c r="BD17" s="0" t="n">
        <v>2</v>
      </c>
      <c r="BE17" s="0" t="n">
        <v>2</v>
      </c>
      <c r="BF17" s="0" t="n">
        <v>2</v>
      </c>
      <c r="BG17" s="0" t="n">
        <v>2</v>
      </c>
      <c r="BH17" s="0" t="n">
        <v>2</v>
      </c>
    </row>
    <row r="18" customFormat="false" ht="15" hidden="false" customHeight="false" outlineLevel="0" collapsed="false">
      <c r="A18" s="0" t="n">
        <v>17</v>
      </c>
      <c r="B18" s="0" t="s">
        <v>123</v>
      </c>
      <c r="C18" s="0" t="n">
        <v>2</v>
      </c>
      <c r="D18" s="0" t="n">
        <v>2</v>
      </c>
      <c r="E18" s="0" t="n">
        <v>2</v>
      </c>
      <c r="F18" s="0" t="n">
        <v>9.445538</v>
      </c>
      <c r="G18" s="0" t="n">
        <v>2</v>
      </c>
      <c r="H18" s="0" t="n">
        <v>2</v>
      </c>
      <c r="I18" s="0" t="n">
        <v>2</v>
      </c>
      <c r="J18" s="0" t="n">
        <v>2</v>
      </c>
      <c r="K18" s="0" t="n">
        <v>2</v>
      </c>
      <c r="L18" s="0" t="n">
        <v>2</v>
      </c>
      <c r="M18" s="0" t="n">
        <v>2</v>
      </c>
      <c r="N18" s="0" t="n">
        <v>2</v>
      </c>
      <c r="O18" s="0" t="n">
        <v>2</v>
      </c>
      <c r="P18" s="0" t="n">
        <v>2</v>
      </c>
      <c r="Q18" s="0" t="n">
        <v>8.821045</v>
      </c>
      <c r="R18" s="0" t="n">
        <v>8.090478</v>
      </c>
      <c r="S18" s="0" t="n">
        <v>2</v>
      </c>
      <c r="T18" s="0" t="n">
        <v>2</v>
      </c>
      <c r="U18" s="0" t="n">
        <v>2</v>
      </c>
      <c r="V18" s="0" t="n">
        <v>2</v>
      </c>
      <c r="W18" s="0" t="n">
        <v>2</v>
      </c>
      <c r="X18" s="0" t="n">
        <v>2</v>
      </c>
      <c r="Y18" s="0" t="n">
        <v>2</v>
      </c>
      <c r="Z18" s="0" t="n">
        <v>2</v>
      </c>
      <c r="AA18" s="0" t="n">
        <v>2</v>
      </c>
      <c r="AB18" s="0" t="n">
        <v>2</v>
      </c>
      <c r="AC18" s="0" t="n">
        <v>2</v>
      </c>
      <c r="AD18" s="0" t="n">
        <v>2</v>
      </c>
      <c r="AE18" s="0" t="n">
        <v>2</v>
      </c>
      <c r="AF18" s="0" t="n">
        <v>2</v>
      </c>
      <c r="AG18" s="0" t="n">
        <v>2</v>
      </c>
      <c r="AH18" s="0" t="n">
        <v>2</v>
      </c>
      <c r="AI18" s="0" t="n">
        <v>2</v>
      </c>
      <c r="AJ18" s="0" t="n">
        <v>8.033248</v>
      </c>
      <c r="AK18" s="0" t="n">
        <v>2</v>
      </c>
      <c r="AL18" s="0" t="n">
        <v>2</v>
      </c>
      <c r="AM18" s="0" t="n">
        <v>2</v>
      </c>
      <c r="AN18" s="0" t="n">
        <v>2</v>
      </c>
      <c r="AO18" s="0" t="n">
        <v>2</v>
      </c>
      <c r="AP18" s="0" t="n">
        <v>2</v>
      </c>
      <c r="AQ18" s="0" t="n">
        <v>2</v>
      </c>
      <c r="AR18" s="0" t="n">
        <v>2</v>
      </c>
      <c r="AS18" s="0" t="n">
        <v>2</v>
      </c>
      <c r="AT18" s="0" t="n">
        <v>2</v>
      </c>
      <c r="AU18" s="0" t="n">
        <v>2</v>
      </c>
      <c r="AV18" s="0" t="n">
        <v>2</v>
      </c>
      <c r="AW18" s="0" t="n">
        <v>2</v>
      </c>
      <c r="AX18" s="0" t="n">
        <v>2</v>
      </c>
      <c r="AY18" s="0" t="n">
        <v>2</v>
      </c>
      <c r="AZ18" s="0" t="n">
        <v>2</v>
      </c>
      <c r="BA18" s="0" t="n">
        <v>2</v>
      </c>
      <c r="BB18" s="0" t="n">
        <v>2</v>
      </c>
      <c r="BC18" s="0" t="n">
        <v>2</v>
      </c>
      <c r="BD18" s="0" t="n">
        <v>2</v>
      </c>
      <c r="BE18" s="0" t="n">
        <v>2</v>
      </c>
      <c r="BF18" s="0" t="n">
        <v>2</v>
      </c>
      <c r="BG18" s="0" t="n">
        <v>2</v>
      </c>
      <c r="BH18" s="0" t="n">
        <v>2</v>
      </c>
    </row>
    <row r="19" customFormat="false" ht="15" hidden="false" customHeight="false" outlineLevel="0" collapsed="false">
      <c r="A19" s="0" t="n">
        <v>18</v>
      </c>
      <c r="B19" s="0" t="s">
        <v>102</v>
      </c>
      <c r="C19" s="0" t="n">
        <v>2</v>
      </c>
      <c r="D19" s="0" t="n">
        <v>2</v>
      </c>
      <c r="E19" s="0" t="n">
        <v>2</v>
      </c>
      <c r="F19" s="0" t="n">
        <v>2</v>
      </c>
      <c r="G19" s="0" t="n">
        <v>2</v>
      </c>
      <c r="H19" s="0" t="n">
        <v>2</v>
      </c>
      <c r="I19" s="0" t="n">
        <v>8.754325</v>
      </c>
      <c r="J19" s="0" t="n">
        <v>2</v>
      </c>
      <c r="K19" s="0" t="n">
        <v>2</v>
      </c>
      <c r="L19" s="0" t="n">
        <v>2</v>
      </c>
      <c r="M19" s="0" t="n">
        <v>8.20481</v>
      </c>
      <c r="N19" s="0" t="n">
        <v>2</v>
      </c>
      <c r="O19" s="0" t="n">
        <v>10</v>
      </c>
      <c r="P19" s="0" t="n">
        <v>2</v>
      </c>
      <c r="Q19" s="0" t="n">
        <v>8.821045</v>
      </c>
      <c r="R19" s="0" t="n">
        <v>2</v>
      </c>
      <c r="S19" s="0" t="n">
        <v>7.249875</v>
      </c>
      <c r="T19" s="0" t="n">
        <v>2</v>
      </c>
      <c r="U19" s="0" t="n">
        <v>2</v>
      </c>
      <c r="V19" s="0" t="n">
        <v>2</v>
      </c>
      <c r="W19" s="0" t="n">
        <v>2</v>
      </c>
      <c r="X19" s="0" t="n">
        <v>2</v>
      </c>
      <c r="Y19" s="0" t="n">
        <v>2</v>
      </c>
      <c r="Z19" s="0" t="n">
        <v>2</v>
      </c>
      <c r="AA19" s="0" t="n">
        <v>2</v>
      </c>
      <c r="AB19" s="0" t="n">
        <v>2</v>
      </c>
      <c r="AC19" s="0" t="n">
        <v>9.765352</v>
      </c>
      <c r="AD19" s="0" t="n">
        <v>2</v>
      </c>
      <c r="AE19" s="0" t="n">
        <v>2</v>
      </c>
      <c r="AF19" s="0" t="n">
        <v>2</v>
      </c>
      <c r="AG19" s="0" t="n">
        <v>2</v>
      </c>
      <c r="AH19" s="0" t="n">
        <v>2</v>
      </c>
      <c r="AI19" s="0" t="n">
        <v>2</v>
      </c>
      <c r="AJ19" s="0" t="n">
        <v>2</v>
      </c>
      <c r="AK19" s="0" t="n">
        <v>8.674621</v>
      </c>
      <c r="AL19" s="0" t="n">
        <v>2</v>
      </c>
      <c r="AM19" s="0" t="n">
        <v>2</v>
      </c>
      <c r="AN19" s="0" t="n">
        <v>2</v>
      </c>
      <c r="AO19" s="0" t="n">
        <v>2</v>
      </c>
      <c r="AP19" s="0" t="n">
        <v>2</v>
      </c>
      <c r="AQ19" s="0" t="n">
        <v>2</v>
      </c>
      <c r="AR19" s="0" t="n">
        <v>2</v>
      </c>
      <c r="AS19" s="0" t="n">
        <v>2</v>
      </c>
      <c r="AT19" s="0" t="n">
        <v>2</v>
      </c>
      <c r="AU19" s="0" t="n">
        <v>2</v>
      </c>
      <c r="AV19" s="0" t="n">
        <v>2</v>
      </c>
      <c r="AW19" s="0" t="n">
        <v>2</v>
      </c>
      <c r="AX19" s="0" t="n">
        <v>2</v>
      </c>
      <c r="AY19" s="0" t="n">
        <v>2</v>
      </c>
      <c r="AZ19" s="0" t="n">
        <v>2</v>
      </c>
      <c r="BA19" s="0" t="n">
        <v>2</v>
      </c>
      <c r="BB19" s="0" t="n">
        <v>2</v>
      </c>
      <c r="BC19" s="0" t="n">
        <v>2</v>
      </c>
      <c r="BD19" s="0" t="n">
        <v>2</v>
      </c>
      <c r="BE19" s="0" t="n">
        <v>2</v>
      </c>
      <c r="BF19" s="0" t="n">
        <v>2</v>
      </c>
      <c r="BG19" s="0" t="n">
        <v>2</v>
      </c>
      <c r="BH19" s="0" t="n">
        <v>2</v>
      </c>
    </row>
    <row r="20" customFormat="false" ht="15" hidden="false" customHeight="false" outlineLevel="0" collapsed="false">
      <c r="A20" s="0" t="n">
        <v>19</v>
      </c>
      <c r="B20" s="0" t="s">
        <v>120</v>
      </c>
      <c r="C20" s="0" t="n">
        <v>9.635009</v>
      </c>
      <c r="D20" s="0" t="n">
        <v>9.863213</v>
      </c>
      <c r="E20" s="0" t="n">
        <v>2</v>
      </c>
      <c r="F20" s="0" t="n">
        <v>9.445538</v>
      </c>
      <c r="G20" s="0" t="n">
        <v>9.863588</v>
      </c>
      <c r="H20" s="0" t="n">
        <v>2</v>
      </c>
      <c r="I20" s="0" t="n">
        <v>8.754325</v>
      </c>
      <c r="J20" s="0" t="n">
        <v>8.783788</v>
      </c>
      <c r="K20" s="0" t="n">
        <v>9.486675</v>
      </c>
      <c r="L20" s="0" t="n">
        <v>9.549344</v>
      </c>
      <c r="M20" s="0" t="n">
        <v>8.20481</v>
      </c>
      <c r="N20" s="0" t="n">
        <v>8.387955</v>
      </c>
      <c r="O20" s="0" t="n">
        <v>10</v>
      </c>
      <c r="P20" s="0" t="n">
        <v>8.612306</v>
      </c>
      <c r="Q20" s="0" t="n">
        <v>8.821045</v>
      </c>
      <c r="R20" s="0" t="n">
        <v>8.090478</v>
      </c>
      <c r="S20" s="0" t="n">
        <v>7.249875</v>
      </c>
      <c r="T20" s="0" t="n">
        <v>7.818385</v>
      </c>
      <c r="U20" s="0" t="n">
        <v>7.560775</v>
      </c>
      <c r="V20" s="0" t="n">
        <v>2</v>
      </c>
      <c r="W20" s="0" t="n">
        <v>2</v>
      </c>
      <c r="X20" s="0" t="n">
        <v>2</v>
      </c>
      <c r="Y20" s="0" t="n">
        <v>2</v>
      </c>
      <c r="Z20" s="0" t="n">
        <v>7.311202</v>
      </c>
      <c r="AA20" s="0" t="n">
        <v>2</v>
      </c>
      <c r="AB20" s="0" t="n">
        <v>2</v>
      </c>
      <c r="AC20" s="0" t="n">
        <v>9.765352</v>
      </c>
      <c r="AD20" s="0" t="n">
        <v>2</v>
      </c>
      <c r="AE20" s="0" t="n">
        <v>7.060688</v>
      </c>
      <c r="AF20" s="0" t="n">
        <v>7.234136</v>
      </c>
      <c r="AG20" s="0" t="n">
        <v>2</v>
      </c>
      <c r="AH20" s="0" t="n">
        <v>2</v>
      </c>
      <c r="AI20" s="0" t="n">
        <v>2</v>
      </c>
      <c r="AJ20" s="0" t="n">
        <v>8.033248</v>
      </c>
      <c r="AK20" s="0" t="n">
        <v>8.674621</v>
      </c>
      <c r="AL20" s="0" t="n">
        <v>2</v>
      </c>
      <c r="AM20" s="0" t="n">
        <v>7.615036</v>
      </c>
      <c r="AN20" s="0" t="n">
        <v>2</v>
      </c>
      <c r="AO20" s="0" t="n">
        <v>5.37751</v>
      </c>
      <c r="AP20" s="0" t="n">
        <v>6.30866</v>
      </c>
      <c r="AQ20" s="0" t="n">
        <v>2</v>
      </c>
      <c r="AR20" s="0" t="n">
        <v>2</v>
      </c>
      <c r="AS20" s="0" t="n">
        <v>2</v>
      </c>
      <c r="AT20" s="0" t="n">
        <v>2</v>
      </c>
      <c r="AU20" s="0" t="n">
        <v>2</v>
      </c>
      <c r="AV20" s="0" t="n">
        <v>2</v>
      </c>
      <c r="AW20" s="0" t="n">
        <v>2</v>
      </c>
      <c r="AX20" s="0" t="n">
        <v>2</v>
      </c>
      <c r="AY20" s="0" t="n">
        <v>2</v>
      </c>
      <c r="AZ20" s="0" t="n">
        <v>2</v>
      </c>
      <c r="BA20" s="0" t="n">
        <v>2</v>
      </c>
      <c r="BB20" s="0" t="n">
        <v>2</v>
      </c>
      <c r="BC20" s="0" t="n">
        <v>2</v>
      </c>
      <c r="BD20" s="0" t="n">
        <v>2</v>
      </c>
      <c r="BE20" s="0" t="n">
        <v>2</v>
      </c>
      <c r="BF20" s="0" t="n">
        <v>2</v>
      </c>
      <c r="BG20" s="0" t="n">
        <v>2</v>
      </c>
      <c r="BH20" s="0" t="n">
        <v>2</v>
      </c>
    </row>
    <row r="21" customFormat="false" ht="15" hidden="false" customHeight="false" outlineLevel="0" collapsed="false">
      <c r="A21" s="0" t="n">
        <v>20</v>
      </c>
      <c r="B21" s="0" t="s">
        <v>121</v>
      </c>
      <c r="C21" s="0" t="n">
        <v>9.635009</v>
      </c>
      <c r="D21" s="0" t="n">
        <v>9.863213</v>
      </c>
      <c r="E21" s="0" t="n">
        <v>2</v>
      </c>
      <c r="F21" s="0" t="n">
        <v>9.445538</v>
      </c>
      <c r="G21" s="0" t="n">
        <v>2</v>
      </c>
      <c r="H21" s="0" t="n">
        <v>2</v>
      </c>
      <c r="I21" s="0" t="n">
        <v>8.754325</v>
      </c>
      <c r="J21" s="0" t="n">
        <v>2</v>
      </c>
      <c r="K21" s="0" t="n">
        <v>2</v>
      </c>
      <c r="L21" s="0" t="n">
        <v>9.549344</v>
      </c>
      <c r="M21" s="0" t="n">
        <v>2</v>
      </c>
      <c r="N21" s="0" t="n">
        <v>8.387955</v>
      </c>
      <c r="O21" s="0" t="n">
        <v>2</v>
      </c>
      <c r="P21" s="0" t="n">
        <v>8.612306</v>
      </c>
      <c r="Q21" s="0" t="n">
        <v>8.821045</v>
      </c>
      <c r="R21" s="0" t="n">
        <v>8.090478</v>
      </c>
      <c r="S21" s="0" t="n">
        <v>2</v>
      </c>
      <c r="T21" s="0" t="n">
        <v>7.818385</v>
      </c>
      <c r="U21" s="0" t="n">
        <v>7.560775</v>
      </c>
      <c r="V21" s="0" t="n">
        <v>2</v>
      </c>
      <c r="W21" s="0" t="n">
        <v>2</v>
      </c>
      <c r="X21" s="0" t="n">
        <v>2</v>
      </c>
      <c r="Y21" s="0" t="n">
        <v>2</v>
      </c>
      <c r="Z21" s="0" t="n">
        <v>7.311202</v>
      </c>
      <c r="AA21" s="0" t="n">
        <v>2</v>
      </c>
      <c r="AB21" s="0" t="n">
        <v>2</v>
      </c>
      <c r="AC21" s="0" t="n">
        <v>2</v>
      </c>
      <c r="AD21" s="0" t="n">
        <v>2</v>
      </c>
      <c r="AE21" s="0" t="n">
        <v>2</v>
      </c>
      <c r="AF21" s="0" t="n">
        <v>7.234136</v>
      </c>
      <c r="AG21" s="0" t="n">
        <v>2</v>
      </c>
      <c r="AH21" s="0" t="n">
        <v>2</v>
      </c>
      <c r="AI21" s="0" t="n">
        <v>2</v>
      </c>
      <c r="AJ21" s="0" t="n">
        <v>2</v>
      </c>
      <c r="AK21" s="0" t="n">
        <v>8.674621</v>
      </c>
      <c r="AL21" s="0" t="n">
        <v>2</v>
      </c>
      <c r="AM21" s="0" t="n">
        <v>7.615036</v>
      </c>
      <c r="AN21" s="0" t="n">
        <v>2</v>
      </c>
      <c r="AO21" s="0" t="n">
        <v>2</v>
      </c>
      <c r="AP21" s="0" t="n">
        <v>6.30866</v>
      </c>
      <c r="AQ21" s="0" t="n">
        <v>2</v>
      </c>
      <c r="AR21" s="0" t="n">
        <v>2</v>
      </c>
      <c r="AS21" s="0" t="n">
        <v>2</v>
      </c>
      <c r="AT21" s="0" t="n">
        <v>2</v>
      </c>
      <c r="AU21" s="0" t="n">
        <v>2</v>
      </c>
      <c r="AV21" s="0" t="n">
        <v>2</v>
      </c>
      <c r="AW21" s="0" t="n">
        <v>2</v>
      </c>
      <c r="AX21" s="0" t="n">
        <v>2</v>
      </c>
      <c r="AY21" s="0" t="n">
        <v>2</v>
      </c>
      <c r="AZ21" s="0" t="n">
        <v>2</v>
      </c>
      <c r="BA21" s="0" t="n">
        <v>2</v>
      </c>
      <c r="BB21" s="0" t="n">
        <v>2</v>
      </c>
      <c r="BC21" s="0" t="n">
        <v>2</v>
      </c>
      <c r="BD21" s="0" t="n">
        <v>2</v>
      </c>
      <c r="BE21" s="0" t="n">
        <v>2</v>
      </c>
      <c r="BF21" s="0" t="n">
        <v>2</v>
      </c>
      <c r="BG21" s="0" t="n">
        <v>2</v>
      </c>
      <c r="BH21" s="0" t="n">
        <v>2</v>
      </c>
    </row>
    <row r="22" customFormat="false" ht="15" hidden="false" customHeight="false" outlineLevel="0" collapsed="false">
      <c r="A22" s="0" t="n">
        <v>21</v>
      </c>
      <c r="B22" s="0" t="s">
        <v>111</v>
      </c>
      <c r="C22" s="0" t="n">
        <v>9.635009</v>
      </c>
      <c r="D22" s="0" t="n">
        <v>9.863213</v>
      </c>
      <c r="E22" s="0" t="n">
        <v>7.678486</v>
      </c>
      <c r="F22" s="0" t="n">
        <v>9.445538</v>
      </c>
      <c r="G22" s="0" t="n">
        <v>2</v>
      </c>
      <c r="H22" s="0" t="n">
        <v>2</v>
      </c>
      <c r="I22" s="0" t="n">
        <v>8.754325</v>
      </c>
      <c r="J22" s="0" t="n">
        <v>8.783788</v>
      </c>
      <c r="K22" s="0" t="n">
        <v>9.486675</v>
      </c>
      <c r="L22" s="0" t="n">
        <v>9.549344</v>
      </c>
      <c r="M22" s="0" t="n">
        <v>8.20481</v>
      </c>
      <c r="N22" s="0" t="n">
        <v>8.387955</v>
      </c>
      <c r="O22" s="0" t="n">
        <v>10</v>
      </c>
      <c r="P22" s="0" t="n">
        <v>8.612306</v>
      </c>
      <c r="Q22" s="0" t="n">
        <v>8.821045</v>
      </c>
      <c r="R22" s="0" t="n">
        <v>8.090478</v>
      </c>
      <c r="S22" s="0" t="n">
        <v>7.249875</v>
      </c>
      <c r="T22" s="0" t="n">
        <v>7.818385</v>
      </c>
      <c r="U22" s="0" t="n">
        <v>7.560775</v>
      </c>
      <c r="V22" s="0" t="n">
        <v>2</v>
      </c>
      <c r="W22" s="0" t="n">
        <v>2</v>
      </c>
      <c r="X22" s="0" t="n">
        <v>2</v>
      </c>
      <c r="Y22" s="0" t="n">
        <v>6.086259</v>
      </c>
      <c r="Z22" s="0" t="n">
        <v>7.311202</v>
      </c>
      <c r="AA22" s="0" t="n">
        <v>2</v>
      </c>
      <c r="AB22" s="0" t="n">
        <v>2</v>
      </c>
      <c r="AC22" s="0" t="n">
        <v>9.765352</v>
      </c>
      <c r="AD22" s="0" t="n">
        <v>2</v>
      </c>
      <c r="AE22" s="0" t="n">
        <v>2</v>
      </c>
      <c r="AF22" s="0" t="n">
        <v>7.234136</v>
      </c>
      <c r="AG22" s="0" t="n">
        <v>2</v>
      </c>
      <c r="AH22" s="0" t="n">
        <v>2</v>
      </c>
      <c r="AI22" s="0" t="n">
        <v>2</v>
      </c>
      <c r="AJ22" s="0" t="n">
        <v>8.033248</v>
      </c>
      <c r="AK22" s="0" t="n">
        <v>8.674621</v>
      </c>
      <c r="AL22" s="0" t="n">
        <v>2</v>
      </c>
      <c r="AM22" s="0" t="n">
        <v>7.615036</v>
      </c>
      <c r="AN22" s="0" t="n">
        <v>6.879682</v>
      </c>
      <c r="AO22" s="0" t="n">
        <v>2</v>
      </c>
      <c r="AP22" s="0" t="n">
        <v>6.30866</v>
      </c>
      <c r="AQ22" s="0" t="n">
        <v>2</v>
      </c>
      <c r="AR22" s="0" t="n">
        <v>2</v>
      </c>
      <c r="AS22" s="0" t="n">
        <v>2</v>
      </c>
      <c r="AT22" s="0" t="n">
        <v>2</v>
      </c>
      <c r="AU22" s="0" t="n">
        <v>2</v>
      </c>
      <c r="AV22" s="0" t="n">
        <v>2</v>
      </c>
      <c r="AW22" s="0" t="n">
        <v>2</v>
      </c>
      <c r="AX22" s="0" t="n">
        <v>2</v>
      </c>
      <c r="AY22" s="0" t="n">
        <v>2</v>
      </c>
      <c r="AZ22" s="0" t="n">
        <v>2</v>
      </c>
      <c r="BA22" s="0" t="n">
        <v>2</v>
      </c>
      <c r="BB22" s="0" t="n">
        <v>2</v>
      </c>
      <c r="BC22" s="0" t="n">
        <v>2</v>
      </c>
      <c r="BD22" s="0" t="n">
        <v>2</v>
      </c>
      <c r="BE22" s="0" t="n">
        <v>2</v>
      </c>
      <c r="BF22" s="0" t="n">
        <v>2</v>
      </c>
      <c r="BG22" s="0" t="n">
        <v>2</v>
      </c>
      <c r="BH22" s="0" t="n">
        <v>2</v>
      </c>
    </row>
    <row r="23" customFormat="false" ht="15" hidden="false" customHeight="false" outlineLevel="0" collapsed="false">
      <c r="A23" s="0" t="n">
        <v>22</v>
      </c>
      <c r="B23" s="0" t="s">
        <v>107</v>
      </c>
      <c r="C23" s="0" t="n">
        <v>2</v>
      </c>
      <c r="D23" s="0" t="n">
        <v>9.863213</v>
      </c>
      <c r="E23" s="0" t="n">
        <v>2</v>
      </c>
      <c r="F23" s="0" t="n">
        <v>9.445538</v>
      </c>
      <c r="G23" s="0" t="n">
        <v>2</v>
      </c>
      <c r="H23" s="0" t="n">
        <v>2</v>
      </c>
      <c r="I23" s="0" t="n">
        <v>8.754325</v>
      </c>
      <c r="J23" s="0" t="n">
        <v>2</v>
      </c>
      <c r="K23" s="0" t="n">
        <v>2</v>
      </c>
      <c r="L23" s="0" t="n">
        <v>2</v>
      </c>
      <c r="M23" s="0" t="n">
        <v>8.20481</v>
      </c>
      <c r="N23" s="0" t="n">
        <v>8.387955</v>
      </c>
      <c r="O23" s="0" t="n">
        <v>10</v>
      </c>
      <c r="P23" s="0" t="n">
        <v>8.612306</v>
      </c>
      <c r="Q23" s="0" t="n">
        <v>8.821045</v>
      </c>
      <c r="R23" s="0" t="n">
        <v>8.090478</v>
      </c>
      <c r="S23" s="0" t="n">
        <v>7.249875</v>
      </c>
      <c r="T23" s="0" t="n">
        <v>7.818385</v>
      </c>
      <c r="U23" s="0" t="n">
        <v>7.560775</v>
      </c>
      <c r="V23" s="0" t="n">
        <v>2</v>
      </c>
      <c r="W23" s="0" t="n">
        <v>2</v>
      </c>
      <c r="X23" s="0" t="n">
        <v>2</v>
      </c>
      <c r="Y23" s="0" t="n">
        <v>2</v>
      </c>
      <c r="Z23" s="0" t="n">
        <v>2</v>
      </c>
      <c r="AA23" s="0" t="n">
        <v>2</v>
      </c>
      <c r="AB23" s="0" t="n">
        <v>2</v>
      </c>
      <c r="AC23" s="0" t="n">
        <v>9.765352</v>
      </c>
      <c r="AD23" s="0" t="n">
        <v>2</v>
      </c>
      <c r="AE23" s="0" t="n">
        <v>2</v>
      </c>
      <c r="AF23" s="0" t="n">
        <v>2</v>
      </c>
      <c r="AG23" s="0" t="n">
        <v>2</v>
      </c>
      <c r="AH23" s="0" t="n">
        <v>2</v>
      </c>
      <c r="AI23" s="0" t="n">
        <v>6.756876</v>
      </c>
      <c r="AJ23" s="0" t="n">
        <v>2</v>
      </c>
      <c r="AK23" s="0" t="n">
        <v>8.674621</v>
      </c>
      <c r="AL23" s="0" t="n">
        <v>2</v>
      </c>
      <c r="AM23" s="0" t="n">
        <v>2</v>
      </c>
      <c r="AN23" s="0" t="n">
        <v>2</v>
      </c>
      <c r="AO23" s="0" t="n">
        <v>2</v>
      </c>
      <c r="AP23" s="0" t="n">
        <v>6.30866</v>
      </c>
      <c r="AQ23" s="0" t="n">
        <v>2</v>
      </c>
      <c r="AR23" s="0" t="n">
        <v>2</v>
      </c>
      <c r="AS23" s="0" t="n">
        <v>2</v>
      </c>
      <c r="AT23" s="0" t="n">
        <v>2</v>
      </c>
      <c r="AU23" s="0" t="n">
        <v>2</v>
      </c>
      <c r="AV23" s="0" t="n">
        <v>2</v>
      </c>
      <c r="AW23" s="0" t="n">
        <v>2</v>
      </c>
      <c r="AX23" s="0" t="n">
        <v>2</v>
      </c>
      <c r="AY23" s="0" t="n">
        <v>2</v>
      </c>
      <c r="AZ23" s="0" t="n">
        <v>2</v>
      </c>
      <c r="BA23" s="0" t="n">
        <v>2</v>
      </c>
      <c r="BB23" s="0" t="n">
        <v>2</v>
      </c>
      <c r="BC23" s="0" t="n">
        <v>2</v>
      </c>
      <c r="BD23" s="0" t="n">
        <v>2</v>
      </c>
      <c r="BE23" s="0" t="n">
        <v>2</v>
      </c>
      <c r="BF23" s="0" t="n">
        <v>2</v>
      </c>
      <c r="BG23" s="0" t="n">
        <v>2</v>
      </c>
      <c r="BH23" s="0" t="n">
        <v>2</v>
      </c>
    </row>
    <row r="24" customFormat="false" ht="15" hidden="false" customHeight="false" outlineLevel="0" collapsed="false">
      <c r="A24" s="0" t="n">
        <v>23</v>
      </c>
      <c r="B24" s="0" t="s">
        <v>122</v>
      </c>
      <c r="C24" s="0" t="n">
        <v>2</v>
      </c>
      <c r="D24" s="0" t="n">
        <v>2</v>
      </c>
      <c r="E24" s="0" t="n">
        <v>7.678486</v>
      </c>
      <c r="F24" s="0" t="n">
        <v>9.445538</v>
      </c>
      <c r="G24" s="0" t="n">
        <v>9.863588</v>
      </c>
      <c r="H24" s="0" t="n">
        <v>2</v>
      </c>
      <c r="I24" s="0" t="n">
        <v>8.754325</v>
      </c>
      <c r="J24" s="0" t="n">
        <v>8.783788</v>
      </c>
      <c r="K24" s="0" t="n">
        <v>9.486675</v>
      </c>
      <c r="L24" s="0" t="n">
        <v>2</v>
      </c>
      <c r="M24" s="0" t="n">
        <v>8.20481</v>
      </c>
      <c r="N24" s="0" t="n">
        <v>2</v>
      </c>
      <c r="O24" s="0" t="n">
        <v>2</v>
      </c>
      <c r="P24" s="0" t="n">
        <v>8.612306</v>
      </c>
      <c r="Q24" s="0" t="n">
        <v>8.821045</v>
      </c>
      <c r="R24" s="0" t="n">
        <v>8.090478</v>
      </c>
      <c r="S24" s="0" t="n">
        <v>7.249875</v>
      </c>
      <c r="T24" s="0" t="n">
        <v>2</v>
      </c>
      <c r="U24" s="0" t="n">
        <v>2</v>
      </c>
      <c r="V24" s="0" t="n">
        <v>2</v>
      </c>
      <c r="W24" s="0" t="n">
        <v>2</v>
      </c>
      <c r="X24" s="0" t="n">
        <v>2</v>
      </c>
      <c r="Y24" s="0" t="n">
        <v>2</v>
      </c>
      <c r="Z24" s="0" t="n">
        <v>7.311202</v>
      </c>
      <c r="AA24" s="0" t="n">
        <v>2</v>
      </c>
      <c r="AB24" s="0" t="n">
        <v>2</v>
      </c>
      <c r="AC24" s="0" t="n">
        <v>9.765352</v>
      </c>
      <c r="AD24" s="0" t="n">
        <v>2</v>
      </c>
      <c r="AE24" s="0" t="n">
        <v>2</v>
      </c>
      <c r="AF24" s="0" t="n">
        <v>2</v>
      </c>
      <c r="AG24" s="0" t="n">
        <v>2</v>
      </c>
      <c r="AH24" s="0" t="n">
        <v>2</v>
      </c>
      <c r="AI24" s="0" t="n">
        <v>6.756876</v>
      </c>
      <c r="AJ24" s="0" t="n">
        <v>2</v>
      </c>
      <c r="AK24" s="0" t="n">
        <v>2</v>
      </c>
      <c r="AL24" s="0" t="n">
        <v>2</v>
      </c>
      <c r="AM24" s="0" t="n">
        <v>7.615036</v>
      </c>
      <c r="AN24" s="0" t="n">
        <v>2</v>
      </c>
      <c r="AO24" s="0" t="n">
        <v>2</v>
      </c>
      <c r="AP24" s="0" t="n">
        <v>6.30866</v>
      </c>
      <c r="AQ24" s="0" t="n">
        <v>2</v>
      </c>
      <c r="AR24" s="0" t="n">
        <v>2</v>
      </c>
      <c r="AS24" s="0" t="n">
        <v>2</v>
      </c>
      <c r="AT24" s="0" t="n">
        <v>2</v>
      </c>
      <c r="AU24" s="0" t="n">
        <v>2</v>
      </c>
      <c r="AV24" s="0" t="n">
        <v>2</v>
      </c>
      <c r="AW24" s="0" t="n">
        <v>2</v>
      </c>
      <c r="AX24" s="0" t="n">
        <v>2</v>
      </c>
      <c r="AY24" s="0" t="n">
        <v>2</v>
      </c>
      <c r="AZ24" s="0" t="n">
        <v>2</v>
      </c>
      <c r="BA24" s="0" t="n">
        <v>2</v>
      </c>
      <c r="BB24" s="0" t="n">
        <v>2</v>
      </c>
      <c r="BC24" s="0" t="n">
        <v>2</v>
      </c>
      <c r="BD24" s="0" t="n">
        <v>2</v>
      </c>
      <c r="BE24" s="0" t="n">
        <v>2</v>
      </c>
      <c r="BF24" s="0" t="n">
        <v>2</v>
      </c>
      <c r="BG24" s="0" t="n">
        <v>2</v>
      </c>
      <c r="BH24" s="0" t="n">
        <v>2</v>
      </c>
    </row>
    <row r="25" customFormat="false" ht="15" hidden="false" customHeight="false" outlineLevel="0" collapsed="false">
      <c r="A25" s="0" t="n">
        <v>24</v>
      </c>
      <c r="B25" s="0" t="s">
        <v>98</v>
      </c>
      <c r="C25" s="0" t="n">
        <v>9.635009</v>
      </c>
      <c r="D25" s="0" t="n">
        <v>9.863213</v>
      </c>
      <c r="E25" s="0" t="n">
        <v>2</v>
      </c>
      <c r="F25" s="0" t="n">
        <v>9.445538</v>
      </c>
      <c r="G25" s="0" t="n">
        <v>2</v>
      </c>
      <c r="H25" s="0" t="n">
        <v>2</v>
      </c>
      <c r="I25" s="0" t="n">
        <v>8.754325</v>
      </c>
      <c r="J25" s="0" t="n">
        <v>8.783788</v>
      </c>
      <c r="K25" s="0" t="n">
        <v>9.486675</v>
      </c>
      <c r="L25" s="0" t="n">
        <v>9.549344</v>
      </c>
      <c r="M25" s="0" t="n">
        <v>8.20481</v>
      </c>
      <c r="N25" s="0" t="n">
        <v>8.387955</v>
      </c>
      <c r="O25" s="0" t="n">
        <v>10</v>
      </c>
      <c r="P25" s="0" t="n">
        <v>2</v>
      </c>
      <c r="Q25" s="0" t="n">
        <v>8.821045</v>
      </c>
      <c r="R25" s="0" t="n">
        <v>8.090478</v>
      </c>
      <c r="S25" s="0" t="n">
        <v>2</v>
      </c>
      <c r="T25" s="0" t="n">
        <v>2</v>
      </c>
      <c r="U25" s="0" t="n">
        <v>2</v>
      </c>
      <c r="V25" s="0" t="n">
        <v>2</v>
      </c>
      <c r="W25" s="0" t="n">
        <v>2</v>
      </c>
      <c r="X25" s="0" t="n">
        <v>2</v>
      </c>
      <c r="Y25" s="0" t="n">
        <v>2</v>
      </c>
      <c r="Z25" s="0" t="n">
        <v>2</v>
      </c>
      <c r="AA25" s="0" t="n">
        <v>2</v>
      </c>
      <c r="AB25" s="0" t="n">
        <v>2</v>
      </c>
      <c r="AC25" s="0" t="n">
        <v>9.765352</v>
      </c>
      <c r="AD25" s="0" t="n">
        <v>2</v>
      </c>
      <c r="AE25" s="0" t="n">
        <v>2</v>
      </c>
      <c r="AF25" s="0" t="n">
        <v>2</v>
      </c>
      <c r="AG25" s="0" t="n">
        <v>2</v>
      </c>
      <c r="AH25" s="0" t="n">
        <v>2</v>
      </c>
      <c r="AI25" s="0" t="n">
        <v>2</v>
      </c>
      <c r="AJ25" s="0" t="n">
        <v>2</v>
      </c>
      <c r="AK25" s="0" t="n">
        <v>8.674621</v>
      </c>
      <c r="AL25" s="0" t="n">
        <v>2</v>
      </c>
      <c r="AM25" s="0" t="n">
        <v>7.615036</v>
      </c>
      <c r="AN25" s="0" t="n">
        <v>6.879682</v>
      </c>
      <c r="AO25" s="0" t="n">
        <v>2</v>
      </c>
      <c r="AP25" s="0" t="n">
        <v>2</v>
      </c>
      <c r="AQ25" s="0" t="n">
        <v>2</v>
      </c>
      <c r="AR25" s="0" t="n">
        <v>2</v>
      </c>
      <c r="AS25" s="0" t="n">
        <v>2</v>
      </c>
      <c r="AT25" s="0" t="n">
        <v>2</v>
      </c>
      <c r="AU25" s="0" t="n">
        <v>2</v>
      </c>
      <c r="AV25" s="0" t="n">
        <v>2</v>
      </c>
      <c r="AW25" s="0" t="n">
        <v>2</v>
      </c>
      <c r="AX25" s="0" t="n">
        <v>2</v>
      </c>
      <c r="AY25" s="0" t="n">
        <v>2</v>
      </c>
      <c r="AZ25" s="0" t="n">
        <v>2</v>
      </c>
      <c r="BA25" s="0" t="n">
        <v>2</v>
      </c>
      <c r="BB25" s="0" t="n">
        <v>2</v>
      </c>
      <c r="BC25" s="0" t="n">
        <v>2</v>
      </c>
      <c r="BD25" s="0" t="n">
        <v>2</v>
      </c>
      <c r="BE25" s="0" t="n">
        <v>2</v>
      </c>
      <c r="BF25" s="0" t="n">
        <v>2</v>
      </c>
      <c r="BG25" s="0" t="n">
        <v>2</v>
      </c>
      <c r="BH25" s="0" t="n">
        <v>2</v>
      </c>
    </row>
    <row r="26" customFormat="false" ht="15" hidden="false" customHeight="false" outlineLevel="0" collapsed="false">
      <c r="A26" s="0" t="n">
        <v>25</v>
      </c>
      <c r="B26" s="0" t="s">
        <v>106</v>
      </c>
      <c r="C26" s="0" t="n">
        <v>9.635009</v>
      </c>
      <c r="D26" s="0" t="n">
        <v>9.863213</v>
      </c>
      <c r="E26" s="0" t="n">
        <v>2</v>
      </c>
      <c r="F26" s="0" t="n">
        <v>9.445538</v>
      </c>
      <c r="G26" s="0" t="n">
        <v>2</v>
      </c>
      <c r="H26" s="0" t="n">
        <v>2</v>
      </c>
      <c r="I26" s="0" t="n">
        <v>8.754325</v>
      </c>
      <c r="J26" s="0" t="n">
        <v>8.783788</v>
      </c>
      <c r="K26" s="0" t="n">
        <v>9.486675</v>
      </c>
      <c r="L26" s="0" t="n">
        <v>9.549344</v>
      </c>
      <c r="M26" s="0" t="n">
        <v>8.20481</v>
      </c>
      <c r="N26" s="0" t="n">
        <v>8.387955</v>
      </c>
      <c r="O26" s="0" t="n">
        <v>10</v>
      </c>
      <c r="P26" s="0" t="n">
        <v>2</v>
      </c>
      <c r="Q26" s="0" t="n">
        <v>8.821045</v>
      </c>
      <c r="R26" s="0" t="n">
        <v>8.090478</v>
      </c>
      <c r="S26" s="0" t="n">
        <v>7.249875</v>
      </c>
      <c r="T26" s="0" t="n">
        <v>7.818385</v>
      </c>
      <c r="U26" s="0" t="n">
        <v>2</v>
      </c>
      <c r="V26" s="0" t="n">
        <v>2</v>
      </c>
      <c r="W26" s="0" t="n">
        <v>2</v>
      </c>
      <c r="X26" s="0" t="n">
        <v>2</v>
      </c>
      <c r="Y26" s="0" t="n">
        <v>6.086259</v>
      </c>
      <c r="Z26" s="0" t="n">
        <v>2</v>
      </c>
      <c r="AA26" s="0" t="n">
        <v>2</v>
      </c>
      <c r="AB26" s="0" t="n">
        <v>2</v>
      </c>
      <c r="AC26" s="0" t="n">
        <v>9.765352</v>
      </c>
      <c r="AD26" s="0" t="n">
        <v>2</v>
      </c>
      <c r="AE26" s="0" t="n">
        <v>2</v>
      </c>
      <c r="AF26" s="0" t="n">
        <v>2</v>
      </c>
      <c r="AG26" s="0" t="n">
        <v>2</v>
      </c>
      <c r="AH26" s="0" t="n">
        <v>2</v>
      </c>
      <c r="AI26" s="0" t="n">
        <v>2</v>
      </c>
      <c r="AJ26" s="0" t="n">
        <v>8.033248</v>
      </c>
      <c r="AK26" s="0" t="n">
        <v>8.674621</v>
      </c>
      <c r="AL26" s="0" t="n">
        <v>2</v>
      </c>
      <c r="AM26" s="0" t="n">
        <v>7.615036</v>
      </c>
      <c r="AN26" s="0" t="n">
        <v>6.879682</v>
      </c>
      <c r="AO26" s="0" t="n">
        <v>2</v>
      </c>
      <c r="AP26" s="0" t="n">
        <v>6.30866</v>
      </c>
      <c r="AQ26" s="0" t="n">
        <v>2</v>
      </c>
      <c r="AR26" s="0" t="n">
        <v>2</v>
      </c>
      <c r="AS26" s="0" t="n">
        <v>2</v>
      </c>
      <c r="AT26" s="0" t="n">
        <v>2</v>
      </c>
      <c r="AU26" s="0" t="n">
        <v>2</v>
      </c>
      <c r="AV26" s="0" t="n">
        <v>2</v>
      </c>
      <c r="AW26" s="0" t="n">
        <v>2</v>
      </c>
      <c r="AX26" s="0" t="n">
        <v>2</v>
      </c>
      <c r="AY26" s="0" t="n">
        <v>2</v>
      </c>
      <c r="AZ26" s="0" t="n">
        <v>2</v>
      </c>
      <c r="BA26" s="0" t="n">
        <v>2</v>
      </c>
      <c r="BB26" s="0" t="n">
        <v>2</v>
      </c>
      <c r="BC26" s="0" t="n">
        <v>2</v>
      </c>
      <c r="BD26" s="0" t="n">
        <v>2</v>
      </c>
      <c r="BE26" s="0" t="n">
        <v>2</v>
      </c>
      <c r="BF26" s="0" t="n">
        <v>2</v>
      </c>
      <c r="BG26" s="0" t="n">
        <v>2</v>
      </c>
      <c r="BH26" s="0" t="n">
        <v>2</v>
      </c>
    </row>
    <row r="27" customFormat="false" ht="15" hidden="false" customHeight="false" outlineLevel="0" collapsed="false">
      <c r="A27" s="0" t="n">
        <v>26</v>
      </c>
      <c r="B27" s="0" t="s">
        <v>125</v>
      </c>
      <c r="C27" s="0" t="n">
        <v>2</v>
      </c>
      <c r="D27" s="0" t="n">
        <v>2</v>
      </c>
      <c r="E27" s="0" t="n">
        <v>2</v>
      </c>
      <c r="F27" s="0" t="n">
        <v>2</v>
      </c>
      <c r="G27" s="0" t="n">
        <v>2</v>
      </c>
      <c r="H27" s="0" t="n">
        <v>2</v>
      </c>
      <c r="I27" s="0" t="n">
        <v>2</v>
      </c>
      <c r="J27" s="0" t="n">
        <v>2</v>
      </c>
      <c r="K27" s="0" t="n">
        <v>2</v>
      </c>
      <c r="L27" s="0" t="n">
        <v>2</v>
      </c>
      <c r="M27" s="0" t="n">
        <v>2</v>
      </c>
      <c r="N27" s="0" t="n">
        <v>2</v>
      </c>
      <c r="O27" s="0" t="n">
        <v>2</v>
      </c>
      <c r="P27" s="0" t="n">
        <v>2</v>
      </c>
      <c r="Q27" s="0" t="n">
        <v>2</v>
      </c>
      <c r="R27" s="0" t="n">
        <v>2</v>
      </c>
      <c r="S27" s="0" t="n">
        <v>2</v>
      </c>
      <c r="T27" s="0" t="n">
        <v>2</v>
      </c>
      <c r="U27" s="0" t="n">
        <v>2</v>
      </c>
      <c r="V27" s="0" t="n">
        <v>2</v>
      </c>
      <c r="W27" s="0" t="n">
        <v>2</v>
      </c>
      <c r="X27" s="0" t="n">
        <v>2</v>
      </c>
      <c r="Y27" s="0" t="n">
        <v>2</v>
      </c>
      <c r="Z27" s="0" t="n">
        <v>2</v>
      </c>
      <c r="AA27" s="0" t="n">
        <v>2</v>
      </c>
      <c r="AB27" s="0" t="n">
        <v>2</v>
      </c>
      <c r="AC27" s="0" t="n">
        <v>9.765352</v>
      </c>
      <c r="AD27" s="0" t="n">
        <v>2</v>
      </c>
      <c r="AE27" s="0" t="n">
        <v>2</v>
      </c>
      <c r="AF27" s="0" t="n">
        <v>2</v>
      </c>
      <c r="AG27" s="0" t="n">
        <v>2</v>
      </c>
      <c r="AH27" s="0" t="n">
        <v>2</v>
      </c>
      <c r="AI27" s="0" t="n">
        <v>2</v>
      </c>
      <c r="AJ27" s="0" t="n">
        <v>2</v>
      </c>
      <c r="AK27" s="0" t="n">
        <v>2</v>
      </c>
      <c r="AL27" s="0" t="n">
        <v>2</v>
      </c>
      <c r="AM27" s="0" t="n">
        <v>2</v>
      </c>
      <c r="AN27" s="0" t="n">
        <v>2</v>
      </c>
      <c r="AO27" s="0" t="n">
        <v>2</v>
      </c>
      <c r="AP27" s="0" t="n">
        <v>2</v>
      </c>
      <c r="AQ27" s="0" t="n">
        <v>2</v>
      </c>
      <c r="AR27" s="0" t="n">
        <v>2</v>
      </c>
      <c r="AS27" s="0" t="n">
        <v>2</v>
      </c>
      <c r="AT27" s="0" t="n">
        <v>2</v>
      </c>
      <c r="AU27" s="0" t="n">
        <v>2</v>
      </c>
      <c r="AV27" s="0" t="n">
        <v>2</v>
      </c>
      <c r="AW27" s="0" t="n">
        <v>2</v>
      </c>
      <c r="AX27" s="0" t="n">
        <v>2</v>
      </c>
      <c r="AY27" s="0" t="n">
        <v>2</v>
      </c>
      <c r="AZ27" s="0" t="n">
        <v>2</v>
      </c>
      <c r="BA27" s="0" t="n">
        <v>2</v>
      </c>
      <c r="BB27" s="0" t="n">
        <v>2</v>
      </c>
      <c r="BC27" s="0" t="n">
        <v>2</v>
      </c>
      <c r="BD27" s="0" t="n">
        <v>2</v>
      </c>
      <c r="BE27" s="0" t="n">
        <v>2</v>
      </c>
      <c r="BF27" s="0" t="n">
        <v>2</v>
      </c>
      <c r="BG27" s="0" t="n">
        <v>2</v>
      </c>
      <c r="BH27" s="0" t="n">
        <v>2</v>
      </c>
    </row>
    <row r="28" customFormat="false" ht="15" hidden="false" customHeight="false" outlineLevel="0" collapsed="false">
      <c r="A28" s="0" t="n">
        <v>27</v>
      </c>
      <c r="B28" s="0" t="s">
        <v>126</v>
      </c>
      <c r="C28" s="0" t="n">
        <v>2</v>
      </c>
      <c r="D28" s="0" t="n">
        <v>2</v>
      </c>
      <c r="E28" s="0" t="n">
        <v>2</v>
      </c>
      <c r="F28" s="0" t="n">
        <v>2</v>
      </c>
      <c r="G28" s="0" t="n">
        <v>2</v>
      </c>
      <c r="H28" s="0" t="n">
        <v>2</v>
      </c>
      <c r="I28" s="0" t="n">
        <v>2</v>
      </c>
      <c r="J28" s="0" t="n">
        <v>2</v>
      </c>
      <c r="K28" s="0" t="n">
        <v>2</v>
      </c>
      <c r="L28" s="0" t="n">
        <v>2</v>
      </c>
      <c r="M28" s="0" t="n">
        <v>2</v>
      </c>
      <c r="N28" s="0" t="n">
        <v>2</v>
      </c>
      <c r="O28" s="0" t="n">
        <v>2</v>
      </c>
      <c r="P28" s="0" t="n">
        <v>2</v>
      </c>
      <c r="Q28" s="0" t="n">
        <v>2</v>
      </c>
      <c r="R28" s="0" t="n">
        <v>2</v>
      </c>
      <c r="S28" s="0" t="n">
        <v>2</v>
      </c>
      <c r="T28" s="0" t="n">
        <v>2</v>
      </c>
      <c r="U28" s="0" t="n">
        <v>2</v>
      </c>
      <c r="V28" s="0" t="n">
        <v>2</v>
      </c>
      <c r="W28" s="0" t="n">
        <v>2</v>
      </c>
      <c r="X28" s="0" t="n">
        <v>2</v>
      </c>
      <c r="Y28" s="0" t="n">
        <v>2</v>
      </c>
      <c r="Z28" s="0" t="n">
        <v>2</v>
      </c>
      <c r="AA28" s="0" t="n">
        <v>2</v>
      </c>
      <c r="AB28" s="0" t="n">
        <v>2</v>
      </c>
      <c r="AC28" s="0" t="n">
        <v>2</v>
      </c>
      <c r="AD28" s="0" t="n">
        <v>2</v>
      </c>
      <c r="AE28" s="0" t="n">
        <v>2</v>
      </c>
      <c r="AF28" s="0" t="n">
        <v>2</v>
      </c>
      <c r="AG28" s="0" t="n">
        <v>2</v>
      </c>
      <c r="AH28" s="0" t="n">
        <v>2</v>
      </c>
      <c r="AI28" s="0" t="n">
        <v>2</v>
      </c>
      <c r="AJ28" s="0" t="n">
        <v>2</v>
      </c>
      <c r="AK28" s="0" t="n">
        <v>2</v>
      </c>
      <c r="AL28" s="0" t="n">
        <v>2</v>
      </c>
      <c r="AM28" s="0" t="n">
        <v>2</v>
      </c>
      <c r="AN28" s="0" t="n">
        <v>2</v>
      </c>
      <c r="AO28" s="0" t="n">
        <v>2</v>
      </c>
      <c r="AP28" s="0" t="n">
        <v>2</v>
      </c>
      <c r="AQ28" s="0" t="n">
        <v>2</v>
      </c>
      <c r="AR28" s="0" t="n">
        <v>2</v>
      </c>
      <c r="AS28" s="0" t="n">
        <v>2</v>
      </c>
      <c r="AT28" s="0" t="n">
        <v>2</v>
      </c>
      <c r="AU28" s="0" t="n">
        <v>2</v>
      </c>
      <c r="AV28" s="0" t="n">
        <v>2</v>
      </c>
      <c r="AW28" s="0" t="n">
        <v>2</v>
      </c>
      <c r="AX28" s="0" t="n">
        <v>2</v>
      </c>
      <c r="AY28" s="0" t="n">
        <v>2</v>
      </c>
      <c r="AZ28" s="0" t="n">
        <v>2</v>
      </c>
      <c r="BA28" s="0" t="n">
        <v>2</v>
      </c>
      <c r="BB28" s="0" t="n">
        <v>2</v>
      </c>
      <c r="BC28" s="0" t="n">
        <v>2</v>
      </c>
      <c r="BD28" s="0" t="n">
        <v>2</v>
      </c>
      <c r="BE28" s="0" t="n">
        <v>2</v>
      </c>
      <c r="BF28" s="0" t="n">
        <v>2</v>
      </c>
      <c r="BG28" s="0" t="n">
        <v>2</v>
      </c>
      <c r="BH28" s="0" t="n">
        <v>2</v>
      </c>
    </row>
    <row r="29" customFormat="false" ht="15" hidden="false" customHeight="false" outlineLevel="0" collapsed="false">
      <c r="A29" s="0" t="n">
        <v>28</v>
      </c>
      <c r="B29" s="0" t="s">
        <v>100</v>
      </c>
      <c r="C29" s="0" t="n">
        <v>2</v>
      </c>
      <c r="D29" s="0" t="n">
        <v>2</v>
      </c>
      <c r="E29" s="0" t="n">
        <v>2</v>
      </c>
      <c r="F29" s="0" t="n">
        <v>2</v>
      </c>
      <c r="G29" s="0" t="n">
        <v>2</v>
      </c>
      <c r="H29" s="0" t="n">
        <v>2</v>
      </c>
      <c r="I29" s="0" t="n">
        <v>2</v>
      </c>
      <c r="J29" s="0" t="n">
        <v>2</v>
      </c>
      <c r="K29" s="0" t="n">
        <v>9.486675</v>
      </c>
      <c r="L29" s="0" t="n">
        <v>2</v>
      </c>
      <c r="M29" s="0" t="n">
        <v>8.20481</v>
      </c>
      <c r="N29" s="0" t="n">
        <v>2</v>
      </c>
      <c r="O29" s="0" t="n">
        <v>10</v>
      </c>
      <c r="P29" s="0" t="n">
        <v>2</v>
      </c>
      <c r="Q29" s="0" t="n">
        <v>8.821045</v>
      </c>
      <c r="R29" s="0" t="n">
        <v>8.090478</v>
      </c>
      <c r="S29" s="0" t="n">
        <v>2</v>
      </c>
      <c r="T29" s="0" t="n">
        <v>7.818385</v>
      </c>
      <c r="U29" s="0" t="n">
        <v>2</v>
      </c>
      <c r="V29" s="0" t="n">
        <v>2</v>
      </c>
      <c r="W29" s="0" t="n">
        <v>2</v>
      </c>
      <c r="X29" s="0" t="n">
        <v>2</v>
      </c>
      <c r="Y29" s="0" t="n">
        <v>2</v>
      </c>
      <c r="Z29" s="0" t="n">
        <v>2</v>
      </c>
      <c r="AA29" s="0" t="n">
        <v>2</v>
      </c>
      <c r="AB29" s="0" t="n">
        <v>2</v>
      </c>
      <c r="AC29" s="0" t="n">
        <v>9.765352</v>
      </c>
      <c r="AD29" s="0" t="n">
        <v>2</v>
      </c>
      <c r="AE29" s="0" t="n">
        <v>2</v>
      </c>
      <c r="AF29" s="0" t="n">
        <v>2</v>
      </c>
      <c r="AG29" s="0" t="n">
        <v>2</v>
      </c>
      <c r="AH29" s="0" t="n">
        <v>2</v>
      </c>
      <c r="AI29" s="0" t="n">
        <v>6.756876</v>
      </c>
      <c r="AJ29" s="0" t="n">
        <v>2</v>
      </c>
      <c r="AK29" s="0" t="n">
        <v>2</v>
      </c>
      <c r="AL29" s="0" t="n">
        <v>2</v>
      </c>
      <c r="AM29" s="0" t="n">
        <v>2</v>
      </c>
      <c r="AN29" s="0" t="n">
        <v>2</v>
      </c>
      <c r="AO29" s="0" t="n">
        <v>2</v>
      </c>
      <c r="AP29" s="0" t="n">
        <v>6.30866</v>
      </c>
      <c r="AQ29" s="0" t="n">
        <v>2</v>
      </c>
      <c r="AR29" s="0" t="n">
        <v>2</v>
      </c>
      <c r="AS29" s="0" t="n">
        <v>2</v>
      </c>
      <c r="AT29" s="0" t="n">
        <v>2</v>
      </c>
      <c r="AU29" s="0" t="n">
        <v>2</v>
      </c>
      <c r="AV29" s="0" t="n">
        <v>2</v>
      </c>
      <c r="AW29" s="0" t="n">
        <v>2</v>
      </c>
      <c r="AX29" s="0" t="n">
        <v>2</v>
      </c>
      <c r="AY29" s="0" t="n">
        <v>2</v>
      </c>
      <c r="AZ29" s="0" t="n">
        <v>2</v>
      </c>
      <c r="BA29" s="0" t="n">
        <v>2</v>
      </c>
      <c r="BB29" s="0" t="n">
        <v>2</v>
      </c>
      <c r="BC29" s="0" t="n">
        <v>2</v>
      </c>
      <c r="BD29" s="0" t="n">
        <v>2</v>
      </c>
      <c r="BE29" s="0" t="n">
        <v>2</v>
      </c>
      <c r="BF29" s="0" t="n">
        <v>2</v>
      </c>
      <c r="BG29" s="0" t="n">
        <v>2</v>
      </c>
      <c r="BH29" s="0" t="n">
        <v>2</v>
      </c>
    </row>
    <row r="30" customFormat="false" ht="15" hidden="false" customHeight="false" outlineLevel="0" collapsed="false">
      <c r="A30" s="0" t="n">
        <v>29</v>
      </c>
      <c r="B30" s="0" t="s">
        <v>101</v>
      </c>
      <c r="C30" s="0" t="n">
        <v>2</v>
      </c>
      <c r="D30" s="0" t="n">
        <v>2</v>
      </c>
      <c r="E30" s="0" t="n">
        <v>2</v>
      </c>
      <c r="F30" s="0" t="n">
        <v>9.445538</v>
      </c>
      <c r="G30" s="0" t="n">
        <v>2</v>
      </c>
      <c r="H30" s="0" t="n">
        <v>2</v>
      </c>
      <c r="I30" s="0" t="n">
        <v>8.754325</v>
      </c>
      <c r="J30" s="0" t="n">
        <v>8.783788</v>
      </c>
      <c r="K30" s="0" t="n">
        <v>9.486675</v>
      </c>
      <c r="L30" s="0" t="n">
        <v>2</v>
      </c>
      <c r="M30" s="0" t="n">
        <v>2</v>
      </c>
      <c r="N30" s="0" t="n">
        <v>8.387955</v>
      </c>
      <c r="O30" s="0" t="n">
        <v>10</v>
      </c>
      <c r="P30" s="0" t="n">
        <v>2</v>
      </c>
      <c r="Q30" s="0" t="n">
        <v>8.821045</v>
      </c>
      <c r="R30" s="0" t="n">
        <v>8.090478</v>
      </c>
      <c r="S30" s="0" t="n">
        <v>7.249875</v>
      </c>
      <c r="T30" s="0" t="n">
        <v>7.818385</v>
      </c>
      <c r="U30" s="0" t="n">
        <v>7.560775</v>
      </c>
      <c r="V30" s="0" t="n">
        <v>2</v>
      </c>
      <c r="W30" s="0" t="n">
        <v>2</v>
      </c>
      <c r="X30" s="0" t="n">
        <v>2</v>
      </c>
      <c r="Y30" s="0" t="n">
        <v>2</v>
      </c>
      <c r="Z30" s="0" t="n">
        <v>2</v>
      </c>
      <c r="AA30" s="0" t="n">
        <v>2</v>
      </c>
      <c r="AB30" s="0" t="n">
        <v>8.077798</v>
      </c>
      <c r="AC30" s="0" t="n">
        <v>9.765352</v>
      </c>
      <c r="AD30" s="0" t="n">
        <v>2</v>
      </c>
      <c r="AE30" s="0" t="n">
        <v>2</v>
      </c>
      <c r="AF30" s="0" t="n">
        <v>2</v>
      </c>
      <c r="AG30" s="0" t="n">
        <v>2</v>
      </c>
      <c r="AH30" s="0" t="n">
        <v>2</v>
      </c>
      <c r="AI30" s="0" t="n">
        <v>2</v>
      </c>
      <c r="AJ30" s="0" t="n">
        <v>2</v>
      </c>
      <c r="AK30" s="0" t="n">
        <v>8.674621</v>
      </c>
      <c r="AL30" s="0" t="n">
        <v>2</v>
      </c>
      <c r="AM30" s="0" t="n">
        <v>2</v>
      </c>
      <c r="AN30" s="0" t="n">
        <v>2</v>
      </c>
      <c r="AO30" s="0" t="n">
        <v>2</v>
      </c>
      <c r="AP30" s="0" t="n">
        <v>6.30866</v>
      </c>
      <c r="AQ30" s="0" t="n">
        <v>2</v>
      </c>
      <c r="AR30" s="0" t="n">
        <v>2</v>
      </c>
      <c r="AS30" s="0" t="n">
        <v>2</v>
      </c>
      <c r="AT30" s="0" t="n">
        <v>2</v>
      </c>
      <c r="AU30" s="0" t="n">
        <v>2</v>
      </c>
      <c r="AV30" s="0" t="n">
        <v>2</v>
      </c>
      <c r="AW30" s="0" t="n">
        <v>2</v>
      </c>
      <c r="AX30" s="0" t="n">
        <v>2</v>
      </c>
      <c r="AY30" s="0" t="n">
        <v>2</v>
      </c>
      <c r="AZ30" s="0" t="n">
        <v>2</v>
      </c>
      <c r="BA30" s="0" t="n">
        <v>2</v>
      </c>
      <c r="BB30" s="0" t="n">
        <v>2</v>
      </c>
      <c r="BC30" s="0" t="n">
        <v>2</v>
      </c>
      <c r="BD30" s="0" t="n">
        <v>2</v>
      </c>
      <c r="BE30" s="0" t="n">
        <v>2</v>
      </c>
      <c r="BF30" s="0" t="n">
        <v>2</v>
      </c>
      <c r="BG30" s="0" t="n">
        <v>2</v>
      </c>
      <c r="BH30" s="0" t="n">
        <v>2</v>
      </c>
    </row>
    <row r="31" customFormat="false" ht="15" hidden="false" customHeight="false" outlineLevel="0" collapsed="false">
      <c r="A31" s="0" t="n">
        <v>30</v>
      </c>
      <c r="B31" s="0" t="s">
        <v>104</v>
      </c>
      <c r="C31" s="0" t="n">
        <v>2</v>
      </c>
      <c r="D31" s="0" t="n">
        <v>2</v>
      </c>
      <c r="E31" s="0" t="n">
        <v>2</v>
      </c>
      <c r="F31" s="0" t="n">
        <v>9.445538</v>
      </c>
      <c r="G31" s="0" t="n">
        <v>2</v>
      </c>
      <c r="H31" s="0" t="n">
        <v>2</v>
      </c>
      <c r="I31" s="0" t="n">
        <v>2</v>
      </c>
      <c r="J31" s="0" t="n">
        <v>8.783788</v>
      </c>
      <c r="K31" s="0" t="n">
        <v>9.486675</v>
      </c>
      <c r="L31" s="0" t="n">
        <v>9.549344</v>
      </c>
      <c r="M31" s="0" t="n">
        <v>2</v>
      </c>
      <c r="N31" s="0" t="n">
        <v>2</v>
      </c>
      <c r="O31" s="0" t="n">
        <v>2</v>
      </c>
      <c r="P31" s="0" t="n">
        <v>2</v>
      </c>
      <c r="Q31" s="0" t="n">
        <v>8.821045</v>
      </c>
      <c r="R31" s="0" t="n">
        <v>8.090478</v>
      </c>
      <c r="S31" s="0" t="n">
        <v>2</v>
      </c>
      <c r="T31" s="0" t="n">
        <v>2</v>
      </c>
      <c r="U31" s="0" t="n">
        <v>2</v>
      </c>
      <c r="V31" s="0" t="n">
        <v>2</v>
      </c>
      <c r="W31" s="0" t="n">
        <v>2</v>
      </c>
      <c r="X31" s="0" t="n">
        <v>2</v>
      </c>
      <c r="Y31" s="0" t="n">
        <v>2</v>
      </c>
      <c r="Z31" s="0" t="n">
        <v>2</v>
      </c>
      <c r="AA31" s="0" t="n">
        <v>2</v>
      </c>
      <c r="AB31" s="0" t="n">
        <v>2</v>
      </c>
      <c r="AC31" s="0" t="n">
        <v>9.765352</v>
      </c>
      <c r="AD31" s="0" t="n">
        <v>2</v>
      </c>
      <c r="AE31" s="0" t="n">
        <v>2</v>
      </c>
      <c r="AF31" s="0" t="n">
        <v>2</v>
      </c>
      <c r="AG31" s="0" t="n">
        <v>2</v>
      </c>
      <c r="AH31" s="0" t="n">
        <v>2</v>
      </c>
      <c r="AI31" s="0" t="n">
        <v>2</v>
      </c>
      <c r="AJ31" s="0" t="n">
        <v>8.033248</v>
      </c>
      <c r="AK31" s="0" t="n">
        <v>2</v>
      </c>
      <c r="AL31" s="0" t="n">
        <v>2</v>
      </c>
      <c r="AM31" s="0" t="n">
        <v>2</v>
      </c>
      <c r="AN31" s="0" t="n">
        <v>2</v>
      </c>
      <c r="AO31" s="0" t="n">
        <v>2</v>
      </c>
      <c r="AP31" s="0" t="n">
        <v>6.30866</v>
      </c>
      <c r="AQ31" s="0" t="n">
        <v>2</v>
      </c>
      <c r="AR31" s="0" t="n">
        <v>2</v>
      </c>
      <c r="AS31" s="0" t="n">
        <v>2</v>
      </c>
      <c r="AT31" s="0" t="n">
        <v>2</v>
      </c>
      <c r="AU31" s="0" t="n">
        <v>2</v>
      </c>
      <c r="AV31" s="0" t="n">
        <v>2</v>
      </c>
      <c r="AW31" s="0" t="n">
        <v>2</v>
      </c>
      <c r="AX31" s="0" t="n">
        <v>2</v>
      </c>
      <c r="AY31" s="0" t="n">
        <v>2</v>
      </c>
      <c r="AZ31" s="0" t="n">
        <v>2</v>
      </c>
      <c r="BA31" s="0" t="n">
        <v>2</v>
      </c>
      <c r="BB31" s="0" t="n">
        <v>2</v>
      </c>
      <c r="BC31" s="0" t="n">
        <v>2</v>
      </c>
      <c r="BD31" s="0" t="n">
        <v>2</v>
      </c>
      <c r="BE31" s="0" t="n">
        <v>2</v>
      </c>
      <c r="BF31" s="0" t="n">
        <v>2</v>
      </c>
      <c r="BG31" s="0" t="n">
        <v>2</v>
      </c>
      <c r="BH31" s="0" t="n">
        <v>2</v>
      </c>
    </row>
    <row r="32" customFormat="false" ht="15" hidden="false" customHeight="false" outlineLevel="0" collapsed="false">
      <c r="A32" s="0" t="n">
        <v>31</v>
      </c>
      <c r="B32" s="0" t="s">
        <v>108</v>
      </c>
      <c r="C32" s="0" t="n">
        <v>2</v>
      </c>
      <c r="D32" s="0" t="n">
        <v>2</v>
      </c>
      <c r="E32" s="0" t="n">
        <v>2</v>
      </c>
      <c r="F32" s="0" t="n">
        <v>2</v>
      </c>
      <c r="G32" s="0" t="n">
        <v>2</v>
      </c>
      <c r="H32" s="0" t="n">
        <v>2</v>
      </c>
      <c r="I32" s="0" t="n">
        <v>8.754325</v>
      </c>
      <c r="J32" s="0" t="n">
        <v>2</v>
      </c>
      <c r="K32" s="0" t="n">
        <v>2</v>
      </c>
      <c r="L32" s="0" t="n">
        <v>9.549344</v>
      </c>
      <c r="M32" s="0" t="n">
        <v>2</v>
      </c>
      <c r="N32" s="0" t="n">
        <v>2</v>
      </c>
      <c r="O32" s="0" t="n">
        <v>10</v>
      </c>
      <c r="P32" s="0" t="n">
        <v>2</v>
      </c>
      <c r="Q32" s="0" t="n">
        <v>8.821045</v>
      </c>
      <c r="R32" s="0" t="n">
        <v>8.090478</v>
      </c>
      <c r="S32" s="0" t="n">
        <v>2</v>
      </c>
      <c r="T32" s="0" t="n">
        <v>7.818385</v>
      </c>
      <c r="U32" s="0" t="n">
        <v>7.560775</v>
      </c>
      <c r="V32" s="0" t="n">
        <v>2</v>
      </c>
      <c r="W32" s="0" t="n">
        <v>2</v>
      </c>
      <c r="X32" s="0" t="n">
        <v>2</v>
      </c>
      <c r="Y32" s="0" t="n">
        <v>2</v>
      </c>
      <c r="Z32" s="0" t="n">
        <v>7.311202</v>
      </c>
      <c r="AA32" s="0" t="n">
        <v>2</v>
      </c>
      <c r="AB32" s="0" t="n">
        <v>8.077798</v>
      </c>
      <c r="AC32" s="0" t="n">
        <v>9.765352</v>
      </c>
      <c r="AD32" s="0" t="n">
        <v>2</v>
      </c>
      <c r="AE32" s="0" t="n">
        <v>2</v>
      </c>
      <c r="AF32" s="0" t="n">
        <v>2</v>
      </c>
      <c r="AG32" s="0" t="n">
        <v>2</v>
      </c>
      <c r="AH32" s="0" t="n">
        <v>2</v>
      </c>
      <c r="AI32" s="0" t="n">
        <v>6.756876</v>
      </c>
      <c r="AJ32" s="0" t="n">
        <v>2</v>
      </c>
      <c r="AK32" s="0" t="n">
        <v>2</v>
      </c>
      <c r="AL32" s="0" t="n">
        <v>2</v>
      </c>
      <c r="AM32" s="0" t="n">
        <v>2</v>
      </c>
      <c r="AN32" s="0" t="n">
        <v>2</v>
      </c>
      <c r="AO32" s="0" t="n">
        <v>2</v>
      </c>
      <c r="AP32" s="0" t="n">
        <v>6.30866</v>
      </c>
      <c r="AQ32" s="0" t="n">
        <v>2</v>
      </c>
      <c r="AR32" s="0" t="n">
        <v>2</v>
      </c>
      <c r="AS32" s="0" t="n">
        <v>2</v>
      </c>
      <c r="AT32" s="0" t="n">
        <v>2</v>
      </c>
      <c r="AU32" s="0" t="n">
        <v>2</v>
      </c>
      <c r="AV32" s="0" t="n">
        <v>2</v>
      </c>
      <c r="AW32" s="0" t="n">
        <v>2</v>
      </c>
      <c r="AX32" s="0" t="n">
        <v>2</v>
      </c>
      <c r="AY32" s="0" t="n">
        <v>2</v>
      </c>
      <c r="AZ32" s="0" t="n">
        <v>2</v>
      </c>
      <c r="BA32" s="0" t="n">
        <v>2</v>
      </c>
      <c r="BB32" s="0" t="n">
        <v>2</v>
      </c>
      <c r="BC32" s="0" t="n">
        <v>2</v>
      </c>
      <c r="BD32" s="0" t="n">
        <v>2</v>
      </c>
      <c r="BE32" s="0" t="n">
        <v>2</v>
      </c>
      <c r="BF32" s="0" t="n">
        <v>2</v>
      </c>
      <c r="BG32" s="0" t="n">
        <v>2</v>
      </c>
      <c r="BH32" s="0" t="n">
        <v>2</v>
      </c>
    </row>
    <row r="33" customFormat="false" ht="15" hidden="false" customHeight="false" outlineLevel="0" collapsed="false">
      <c r="A33" s="0" t="n">
        <v>32</v>
      </c>
      <c r="B33" s="0" t="s">
        <v>110</v>
      </c>
      <c r="C33" s="0" t="n">
        <v>2</v>
      </c>
      <c r="D33" s="0" t="n">
        <v>2</v>
      </c>
      <c r="E33" s="0" t="n">
        <v>2</v>
      </c>
      <c r="F33" s="0" t="n">
        <v>2</v>
      </c>
      <c r="G33" s="0" t="n">
        <v>2</v>
      </c>
      <c r="H33" s="0" t="n">
        <v>2</v>
      </c>
      <c r="I33" s="0" t="n">
        <v>8.754325</v>
      </c>
      <c r="J33" s="0" t="n">
        <v>2</v>
      </c>
      <c r="K33" s="0" t="n">
        <v>2</v>
      </c>
      <c r="L33" s="0" t="n">
        <v>2</v>
      </c>
      <c r="M33" s="0" t="n">
        <v>2</v>
      </c>
      <c r="N33" s="0" t="n">
        <v>8.387955</v>
      </c>
      <c r="O33" s="0" t="n">
        <v>10</v>
      </c>
      <c r="P33" s="0" t="n">
        <v>2</v>
      </c>
      <c r="Q33" s="0" t="n">
        <v>8.821045</v>
      </c>
      <c r="R33" s="0" t="n">
        <v>8.090478</v>
      </c>
      <c r="S33" s="0" t="n">
        <v>2</v>
      </c>
      <c r="T33" s="0" t="n">
        <v>7.818385</v>
      </c>
      <c r="U33" s="0" t="n">
        <v>2</v>
      </c>
      <c r="V33" s="0" t="n">
        <v>2</v>
      </c>
      <c r="W33" s="0" t="n">
        <v>2</v>
      </c>
      <c r="X33" s="0" t="n">
        <v>2</v>
      </c>
      <c r="Y33" s="0" t="n">
        <v>2</v>
      </c>
      <c r="Z33" s="0" t="n">
        <v>2</v>
      </c>
      <c r="AA33" s="0" t="n">
        <v>2</v>
      </c>
      <c r="AB33" s="0" t="n">
        <v>2</v>
      </c>
      <c r="AC33" s="0" t="n">
        <v>9.765352</v>
      </c>
      <c r="AD33" s="0" t="n">
        <v>2</v>
      </c>
      <c r="AE33" s="0" t="n">
        <v>2</v>
      </c>
      <c r="AF33" s="0" t="n">
        <v>2</v>
      </c>
      <c r="AG33" s="0" t="n">
        <v>2</v>
      </c>
      <c r="AH33" s="0" t="n">
        <v>2</v>
      </c>
      <c r="AI33" s="0" t="n">
        <v>2</v>
      </c>
      <c r="AJ33" s="0" t="n">
        <v>2</v>
      </c>
      <c r="AK33" s="0" t="n">
        <v>2</v>
      </c>
      <c r="AL33" s="0" t="n">
        <v>2</v>
      </c>
      <c r="AM33" s="0" t="n">
        <v>2</v>
      </c>
      <c r="AN33" s="0" t="n">
        <v>2</v>
      </c>
      <c r="AO33" s="0" t="n">
        <v>2</v>
      </c>
      <c r="AP33" s="0" t="n">
        <v>6.30866</v>
      </c>
      <c r="AQ33" s="0" t="n">
        <v>2</v>
      </c>
      <c r="AR33" s="0" t="n">
        <v>2</v>
      </c>
      <c r="AS33" s="0" t="n">
        <v>2</v>
      </c>
      <c r="AT33" s="0" t="n">
        <v>2</v>
      </c>
      <c r="AU33" s="0" t="n">
        <v>2</v>
      </c>
      <c r="AV33" s="0" t="n">
        <v>2</v>
      </c>
      <c r="AW33" s="0" t="n">
        <v>2</v>
      </c>
      <c r="AX33" s="0" t="n">
        <v>2</v>
      </c>
      <c r="AY33" s="0" t="n">
        <v>2</v>
      </c>
      <c r="AZ33" s="0" t="n">
        <v>2</v>
      </c>
      <c r="BA33" s="0" t="n">
        <v>2</v>
      </c>
      <c r="BB33" s="0" t="n">
        <v>2</v>
      </c>
      <c r="BC33" s="0" t="n">
        <v>2</v>
      </c>
      <c r="BD33" s="0" t="n">
        <v>2</v>
      </c>
      <c r="BE33" s="0" t="n">
        <v>2</v>
      </c>
      <c r="BF33" s="0" t="n">
        <v>2</v>
      </c>
      <c r="BG33" s="0" t="n">
        <v>2</v>
      </c>
      <c r="BH33" s="0" t="n">
        <v>2</v>
      </c>
    </row>
    <row r="34" customFormat="false" ht="15" hidden="false" customHeight="false" outlineLevel="0" collapsed="false">
      <c r="A34" s="0" t="n">
        <v>33</v>
      </c>
      <c r="B34" s="0" t="s">
        <v>109</v>
      </c>
      <c r="C34" s="0" t="n">
        <v>2</v>
      </c>
      <c r="D34" s="0" t="n">
        <v>2</v>
      </c>
      <c r="E34" s="0" t="n">
        <v>2</v>
      </c>
      <c r="F34" s="0" t="n">
        <v>2</v>
      </c>
      <c r="G34" s="0" t="n">
        <v>9.863588</v>
      </c>
      <c r="H34" s="0" t="n">
        <v>2</v>
      </c>
      <c r="I34" s="0" t="n">
        <v>8.754325</v>
      </c>
      <c r="J34" s="0" t="n">
        <v>8.783788</v>
      </c>
      <c r="K34" s="0" t="n">
        <v>9.486675</v>
      </c>
      <c r="L34" s="0" t="n">
        <v>9.549344</v>
      </c>
      <c r="M34" s="0" t="n">
        <v>2</v>
      </c>
      <c r="N34" s="0" t="n">
        <v>8.387955</v>
      </c>
      <c r="O34" s="0" t="n">
        <v>10</v>
      </c>
      <c r="P34" s="0" t="n">
        <v>8.612306</v>
      </c>
      <c r="Q34" s="0" t="n">
        <v>8.821045</v>
      </c>
      <c r="R34" s="0" t="n">
        <v>8.090478</v>
      </c>
      <c r="S34" s="0" t="n">
        <v>2</v>
      </c>
      <c r="T34" s="0" t="n">
        <v>2</v>
      </c>
      <c r="U34" s="0" t="n">
        <v>2</v>
      </c>
      <c r="V34" s="0" t="n">
        <v>2</v>
      </c>
      <c r="W34" s="0" t="n">
        <v>2</v>
      </c>
      <c r="X34" s="0" t="n">
        <v>2</v>
      </c>
      <c r="Y34" s="0" t="n">
        <v>2</v>
      </c>
      <c r="Z34" s="0" t="n">
        <v>2</v>
      </c>
      <c r="AA34" s="0" t="n">
        <v>2</v>
      </c>
      <c r="AB34" s="0" t="n">
        <v>8.077798</v>
      </c>
      <c r="AC34" s="0" t="n">
        <v>9.765352</v>
      </c>
      <c r="AD34" s="0" t="n">
        <v>2</v>
      </c>
      <c r="AE34" s="0" t="n">
        <v>2</v>
      </c>
      <c r="AF34" s="0" t="n">
        <v>2</v>
      </c>
      <c r="AG34" s="0" t="n">
        <v>2</v>
      </c>
      <c r="AH34" s="0" t="n">
        <v>2</v>
      </c>
      <c r="AI34" s="0" t="n">
        <v>2</v>
      </c>
      <c r="AJ34" s="0" t="n">
        <v>8.033248</v>
      </c>
      <c r="AK34" s="0" t="n">
        <v>2</v>
      </c>
      <c r="AL34" s="0" t="n">
        <v>2</v>
      </c>
      <c r="AM34" s="0" t="n">
        <v>2</v>
      </c>
      <c r="AN34" s="0" t="n">
        <v>6.879682</v>
      </c>
      <c r="AO34" s="0" t="n">
        <v>2</v>
      </c>
      <c r="AP34" s="0" t="n">
        <v>6.30866</v>
      </c>
      <c r="AQ34" s="0" t="n">
        <v>2</v>
      </c>
      <c r="AR34" s="0" t="n">
        <v>2</v>
      </c>
      <c r="AS34" s="0" t="n">
        <v>2</v>
      </c>
      <c r="AT34" s="0" t="n">
        <v>2</v>
      </c>
      <c r="AU34" s="0" t="n">
        <v>2</v>
      </c>
      <c r="AV34" s="0" t="n">
        <v>2</v>
      </c>
      <c r="AW34" s="0" t="n">
        <v>2</v>
      </c>
      <c r="AX34" s="0" t="n">
        <v>2</v>
      </c>
      <c r="AY34" s="0" t="n">
        <v>2</v>
      </c>
      <c r="AZ34" s="0" t="n">
        <v>2</v>
      </c>
      <c r="BA34" s="0" t="n">
        <v>2</v>
      </c>
      <c r="BB34" s="0" t="n">
        <v>2</v>
      </c>
      <c r="BC34" s="0" t="n">
        <v>2</v>
      </c>
      <c r="BD34" s="0" t="n">
        <v>2</v>
      </c>
      <c r="BE34" s="0" t="n">
        <v>2</v>
      </c>
      <c r="BF34" s="0" t="n">
        <v>2</v>
      </c>
      <c r="BG34" s="0" t="n">
        <v>2</v>
      </c>
      <c r="BH34" s="0" t="n">
        <v>2</v>
      </c>
    </row>
    <row r="35" customFormat="false" ht="15" hidden="false" customHeight="false" outlineLevel="0" collapsed="false">
      <c r="A35" s="0" t="n">
        <v>34</v>
      </c>
      <c r="B35" s="0" t="s">
        <v>53</v>
      </c>
      <c r="C35" s="0" t="n">
        <v>2</v>
      </c>
      <c r="D35" s="0" t="n">
        <v>2</v>
      </c>
      <c r="E35" s="0" t="n">
        <v>2</v>
      </c>
      <c r="F35" s="0" t="n">
        <v>2</v>
      </c>
      <c r="G35" s="0" t="n">
        <v>9.863588</v>
      </c>
      <c r="H35" s="0" t="n">
        <v>2</v>
      </c>
      <c r="I35" s="0" t="n">
        <v>8.754325</v>
      </c>
      <c r="J35" s="0" t="n">
        <v>2</v>
      </c>
      <c r="K35" s="0" t="n">
        <v>9.486675</v>
      </c>
      <c r="L35" s="0" t="n">
        <v>9.549344</v>
      </c>
      <c r="M35" s="0" t="n">
        <v>8.20481</v>
      </c>
      <c r="N35" s="0" t="n">
        <v>8.387955</v>
      </c>
      <c r="O35" s="0" t="n">
        <v>10</v>
      </c>
      <c r="P35" s="0" t="n">
        <v>2</v>
      </c>
      <c r="Q35" s="0" t="n">
        <v>8.821045</v>
      </c>
      <c r="R35" s="0" t="n">
        <v>8.090478</v>
      </c>
      <c r="S35" s="0" t="n">
        <v>7.249875</v>
      </c>
      <c r="T35" s="0" t="n">
        <v>7.818385</v>
      </c>
      <c r="U35" s="0" t="n">
        <v>7.560775</v>
      </c>
      <c r="V35" s="0" t="n">
        <v>2</v>
      </c>
      <c r="W35" s="0" t="n">
        <v>2</v>
      </c>
      <c r="X35" s="0" t="n">
        <v>2</v>
      </c>
      <c r="Y35" s="0" t="n">
        <v>2</v>
      </c>
      <c r="Z35" s="0" t="n">
        <v>2</v>
      </c>
      <c r="AA35" s="0" t="n">
        <v>2</v>
      </c>
      <c r="AB35" s="0" t="n">
        <v>2</v>
      </c>
      <c r="AC35" s="0" t="n">
        <v>9.765352</v>
      </c>
      <c r="AD35" s="0" t="n">
        <v>2</v>
      </c>
      <c r="AE35" s="0" t="n">
        <v>2</v>
      </c>
      <c r="AF35" s="0" t="n">
        <v>7.234136</v>
      </c>
      <c r="AG35" s="0" t="n">
        <v>2</v>
      </c>
      <c r="AH35" s="0" t="n">
        <v>2</v>
      </c>
      <c r="AI35" s="0" t="n">
        <v>6.756876</v>
      </c>
      <c r="AJ35" s="0" t="n">
        <v>2</v>
      </c>
      <c r="AK35" s="0" t="n">
        <v>8.674621</v>
      </c>
      <c r="AL35" s="0" t="n">
        <v>2</v>
      </c>
      <c r="AM35" s="0" t="n">
        <v>2</v>
      </c>
      <c r="AN35" s="0" t="n">
        <v>2</v>
      </c>
      <c r="AO35" s="0" t="n">
        <v>2</v>
      </c>
      <c r="AP35" s="0" t="n">
        <v>6.30866</v>
      </c>
      <c r="AQ35" s="0" t="n">
        <v>2</v>
      </c>
      <c r="AR35" s="0" t="n">
        <v>2</v>
      </c>
      <c r="AS35" s="0" t="n">
        <v>2</v>
      </c>
      <c r="AT35" s="0" t="n">
        <v>2</v>
      </c>
      <c r="AU35" s="0" t="n">
        <v>2</v>
      </c>
      <c r="AV35" s="0" t="n">
        <v>2</v>
      </c>
      <c r="AW35" s="0" t="n">
        <v>2</v>
      </c>
      <c r="AX35" s="0" t="n">
        <v>2</v>
      </c>
      <c r="AY35" s="0" t="n">
        <v>2</v>
      </c>
      <c r="AZ35" s="0" t="n">
        <v>2</v>
      </c>
      <c r="BA35" s="0" t="n">
        <v>2</v>
      </c>
      <c r="BB35" s="0" t="n">
        <v>2</v>
      </c>
      <c r="BC35" s="0" t="n">
        <v>2</v>
      </c>
      <c r="BD35" s="0" t="n">
        <v>2</v>
      </c>
      <c r="BE35" s="0" t="n">
        <v>2</v>
      </c>
      <c r="BF35" s="0" t="n">
        <v>2</v>
      </c>
      <c r="BG35" s="0" t="n">
        <v>2</v>
      </c>
      <c r="BH35" s="0" t="n">
        <v>2</v>
      </c>
    </row>
    <row r="36" customFormat="false" ht="15" hidden="false" customHeight="false" outlineLevel="0" collapsed="false">
      <c r="A36" s="0" t="n">
        <v>35</v>
      </c>
      <c r="B36" s="0" t="s">
        <v>67</v>
      </c>
      <c r="C36" s="0" t="n">
        <v>9.635009</v>
      </c>
      <c r="D36" s="0" t="n">
        <v>9.863213</v>
      </c>
      <c r="E36" s="0" t="n">
        <v>2</v>
      </c>
      <c r="F36" s="0" t="n">
        <v>9.445538</v>
      </c>
      <c r="G36" s="0" t="n">
        <v>9.863588</v>
      </c>
      <c r="H36" s="0" t="n">
        <v>2</v>
      </c>
      <c r="I36" s="0" t="n">
        <v>8.754325</v>
      </c>
      <c r="J36" s="0" t="n">
        <v>8.783788</v>
      </c>
      <c r="K36" s="0" t="n">
        <v>9.486675</v>
      </c>
      <c r="L36" s="0" t="n">
        <v>9.549344</v>
      </c>
      <c r="M36" s="0" t="n">
        <v>2</v>
      </c>
      <c r="N36" s="0" t="n">
        <v>2</v>
      </c>
      <c r="O36" s="0" t="n">
        <v>10</v>
      </c>
      <c r="P36" s="0" t="n">
        <v>8.612306</v>
      </c>
      <c r="Q36" s="0" t="n">
        <v>8.821045</v>
      </c>
      <c r="R36" s="0" t="n">
        <v>8.090478</v>
      </c>
      <c r="S36" s="0" t="n">
        <v>7.249875</v>
      </c>
      <c r="T36" s="0" t="n">
        <v>2</v>
      </c>
      <c r="U36" s="0" t="n">
        <v>2</v>
      </c>
      <c r="V36" s="0" t="n">
        <v>2</v>
      </c>
      <c r="W36" s="0" t="n">
        <v>2</v>
      </c>
      <c r="X36" s="0" t="n">
        <v>2</v>
      </c>
      <c r="Y36" s="0" t="n">
        <v>2</v>
      </c>
      <c r="Z36" s="0" t="n">
        <v>7.311202</v>
      </c>
      <c r="AA36" s="0" t="n">
        <v>2</v>
      </c>
      <c r="AB36" s="0" t="n">
        <v>8.077798</v>
      </c>
      <c r="AC36" s="0" t="n">
        <v>9.765352</v>
      </c>
      <c r="AD36" s="0" t="n">
        <v>2</v>
      </c>
      <c r="AE36" s="0" t="n">
        <v>2</v>
      </c>
      <c r="AF36" s="0" t="n">
        <v>7.234136</v>
      </c>
      <c r="AG36" s="0" t="n">
        <v>2</v>
      </c>
      <c r="AH36" s="0" t="n">
        <v>2</v>
      </c>
      <c r="AI36" s="0" t="n">
        <v>6.756876</v>
      </c>
      <c r="AJ36" s="0" t="n">
        <v>8.033248</v>
      </c>
      <c r="AK36" s="0" t="n">
        <v>8.674621</v>
      </c>
      <c r="AL36" s="0" t="n">
        <v>2</v>
      </c>
      <c r="AM36" s="0" t="n">
        <v>7.615036</v>
      </c>
      <c r="AN36" s="0" t="n">
        <v>6.879682</v>
      </c>
      <c r="AO36" s="0" t="n">
        <v>5.37751</v>
      </c>
      <c r="AP36" s="0" t="n">
        <v>6.30866</v>
      </c>
      <c r="AQ36" s="0" t="n">
        <v>2</v>
      </c>
      <c r="AR36" s="0" t="n">
        <v>2</v>
      </c>
      <c r="AS36" s="0" t="n">
        <v>2</v>
      </c>
      <c r="AT36" s="0" t="n">
        <v>2</v>
      </c>
      <c r="AU36" s="0" t="n">
        <v>2</v>
      </c>
      <c r="AV36" s="0" t="n">
        <v>2</v>
      </c>
      <c r="AW36" s="0" t="n">
        <v>2</v>
      </c>
      <c r="AX36" s="0" t="n">
        <v>2</v>
      </c>
      <c r="AY36" s="0" t="n">
        <v>2</v>
      </c>
      <c r="AZ36" s="0" t="n">
        <v>2</v>
      </c>
      <c r="BA36" s="0" t="n">
        <v>2</v>
      </c>
      <c r="BB36" s="0" t="n">
        <v>2</v>
      </c>
      <c r="BC36" s="0" t="n">
        <v>2</v>
      </c>
      <c r="BD36" s="0" t="n">
        <v>2</v>
      </c>
      <c r="BE36" s="0" t="n">
        <v>2</v>
      </c>
      <c r="BF36" s="0" t="n">
        <v>2</v>
      </c>
      <c r="BG36" s="0" t="n">
        <v>2</v>
      </c>
      <c r="BH36" s="0" t="n">
        <v>2</v>
      </c>
    </row>
    <row r="37" customFormat="false" ht="15" hidden="false" customHeight="false" outlineLevel="0" collapsed="false">
      <c r="A37" s="0" t="n">
        <v>36</v>
      </c>
      <c r="B37" s="0" t="s">
        <v>115</v>
      </c>
      <c r="C37" s="0" t="n">
        <v>2</v>
      </c>
      <c r="D37" s="0" t="n">
        <v>2</v>
      </c>
      <c r="E37" s="0" t="n">
        <v>2</v>
      </c>
      <c r="F37" s="0" t="n">
        <v>2</v>
      </c>
      <c r="G37" s="0" t="n">
        <v>2</v>
      </c>
      <c r="H37" s="0" t="n">
        <v>2</v>
      </c>
      <c r="I37" s="0" t="n">
        <v>8.754325</v>
      </c>
      <c r="J37" s="0" t="n">
        <v>8.783788</v>
      </c>
      <c r="K37" s="0" t="n">
        <v>9.486675</v>
      </c>
      <c r="L37" s="0" t="n">
        <v>2</v>
      </c>
      <c r="M37" s="0" t="n">
        <v>8.20481</v>
      </c>
      <c r="N37" s="0" t="n">
        <v>8.387955</v>
      </c>
      <c r="O37" s="0" t="n">
        <v>10</v>
      </c>
      <c r="P37" s="0" t="n">
        <v>2</v>
      </c>
      <c r="Q37" s="0" t="n">
        <v>8.821045</v>
      </c>
      <c r="R37" s="0" t="n">
        <v>8.090478</v>
      </c>
      <c r="S37" s="0" t="n">
        <v>2</v>
      </c>
      <c r="T37" s="0" t="n">
        <v>7.818385</v>
      </c>
      <c r="U37" s="0" t="n">
        <v>7.560775</v>
      </c>
      <c r="V37" s="0" t="n">
        <v>2</v>
      </c>
      <c r="W37" s="0" t="n">
        <v>2</v>
      </c>
      <c r="X37" s="0" t="n">
        <v>2</v>
      </c>
      <c r="Y37" s="0" t="n">
        <v>2</v>
      </c>
      <c r="Z37" s="0" t="n">
        <v>2</v>
      </c>
      <c r="AA37" s="0" t="n">
        <v>2</v>
      </c>
      <c r="AB37" s="0" t="n">
        <v>8.077798</v>
      </c>
      <c r="AC37" s="0" t="n">
        <v>9.765352</v>
      </c>
      <c r="AD37" s="0" t="n">
        <v>2</v>
      </c>
      <c r="AE37" s="0" t="n">
        <v>2</v>
      </c>
      <c r="AF37" s="0" t="n">
        <v>2</v>
      </c>
      <c r="AG37" s="0" t="n">
        <v>2</v>
      </c>
      <c r="AH37" s="0" t="n">
        <v>2</v>
      </c>
      <c r="AI37" s="0" t="n">
        <v>6.756876</v>
      </c>
      <c r="AJ37" s="0" t="n">
        <v>2</v>
      </c>
      <c r="AK37" s="0" t="n">
        <v>2</v>
      </c>
      <c r="AL37" s="0" t="n">
        <v>2</v>
      </c>
      <c r="AM37" s="0" t="n">
        <v>7.615036</v>
      </c>
      <c r="AN37" s="0" t="n">
        <v>6.879682</v>
      </c>
      <c r="AO37" s="0" t="n">
        <v>2</v>
      </c>
      <c r="AP37" s="0" t="n">
        <v>6.30866</v>
      </c>
      <c r="AQ37" s="0" t="n">
        <v>2</v>
      </c>
      <c r="AR37" s="0" t="n">
        <v>2</v>
      </c>
      <c r="AS37" s="0" t="n">
        <v>2</v>
      </c>
      <c r="AT37" s="0" t="n">
        <v>2</v>
      </c>
      <c r="AU37" s="0" t="n">
        <v>2</v>
      </c>
      <c r="AV37" s="0" t="n">
        <v>2</v>
      </c>
      <c r="AW37" s="0" t="n">
        <v>2</v>
      </c>
      <c r="AX37" s="0" t="n">
        <v>2</v>
      </c>
      <c r="AY37" s="0" t="n">
        <v>2</v>
      </c>
      <c r="AZ37" s="0" t="n">
        <v>2</v>
      </c>
      <c r="BA37" s="0" t="n">
        <v>2</v>
      </c>
      <c r="BB37" s="0" t="n">
        <v>2</v>
      </c>
      <c r="BC37" s="0" t="n">
        <v>2</v>
      </c>
      <c r="BD37" s="0" t="n">
        <v>2</v>
      </c>
      <c r="BE37" s="0" t="n">
        <v>2</v>
      </c>
      <c r="BF37" s="0" t="n">
        <v>2</v>
      </c>
      <c r="BG37" s="0" t="n">
        <v>2</v>
      </c>
      <c r="BH37" s="0" t="n">
        <v>2</v>
      </c>
    </row>
    <row r="38" customFormat="false" ht="15" hidden="false" customHeight="false" outlineLevel="0" collapsed="false">
      <c r="A38" s="0" t="n">
        <v>37</v>
      </c>
      <c r="B38" s="0" t="s">
        <v>124</v>
      </c>
      <c r="C38" s="0" t="n">
        <v>9.635009</v>
      </c>
      <c r="D38" s="0" t="n">
        <v>9.863213</v>
      </c>
      <c r="E38" s="0" t="n">
        <v>7.678486</v>
      </c>
      <c r="F38" s="0" t="n">
        <v>2</v>
      </c>
      <c r="G38" s="0" t="n">
        <v>2</v>
      </c>
      <c r="H38" s="0" t="n">
        <v>2</v>
      </c>
      <c r="I38" s="0" t="n">
        <v>8.754325</v>
      </c>
      <c r="J38" s="0" t="n">
        <v>2</v>
      </c>
      <c r="K38" s="0" t="n">
        <v>2</v>
      </c>
      <c r="L38" s="0" t="n">
        <v>9.549344</v>
      </c>
      <c r="M38" s="0" t="n">
        <v>8.20481</v>
      </c>
      <c r="N38" s="0" t="n">
        <v>8.387955</v>
      </c>
      <c r="O38" s="0" t="n">
        <v>2</v>
      </c>
      <c r="P38" s="0" t="n">
        <v>2</v>
      </c>
      <c r="Q38" s="0" t="n">
        <v>8.821045</v>
      </c>
      <c r="R38" s="0" t="n">
        <v>8.090478</v>
      </c>
      <c r="S38" s="0" t="n">
        <v>7.249875</v>
      </c>
      <c r="T38" s="0" t="n">
        <v>2</v>
      </c>
      <c r="U38" s="0" t="n">
        <v>7.560775</v>
      </c>
      <c r="V38" s="0" t="n">
        <v>2</v>
      </c>
      <c r="W38" s="0" t="n">
        <v>2</v>
      </c>
      <c r="X38" s="0" t="n">
        <v>2</v>
      </c>
      <c r="Y38" s="0" t="n">
        <v>2</v>
      </c>
      <c r="Z38" s="0" t="n">
        <v>7.311202</v>
      </c>
      <c r="AA38" s="0" t="n">
        <v>2</v>
      </c>
      <c r="AB38" s="0" t="n">
        <v>2</v>
      </c>
      <c r="AC38" s="0" t="n">
        <v>9.765352</v>
      </c>
      <c r="AD38" s="0" t="n">
        <v>2</v>
      </c>
      <c r="AE38" s="0" t="n">
        <v>2</v>
      </c>
      <c r="AF38" s="0" t="n">
        <v>7.234136</v>
      </c>
      <c r="AG38" s="0" t="n">
        <v>2</v>
      </c>
      <c r="AH38" s="0" t="n">
        <v>2</v>
      </c>
      <c r="AI38" s="0" t="n">
        <v>6.756876</v>
      </c>
      <c r="AJ38" s="0" t="n">
        <v>8.033248</v>
      </c>
      <c r="AK38" s="0" t="n">
        <v>8.674621</v>
      </c>
      <c r="AL38" s="0" t="n">
        <v>2</v>
      </c>
      <c r="AM38" s="0" t="n">
        <v>7.615036</v>
      </c>
      <c r="AN38" s="0" t="n">
        <v>6.879682</v>
      </c>
      <c r="AO38" s="0" t="n">
        <v>2</v>
      </c>
      <c r="AP38" s="0" t="n">
        <v>6.30866</v>
      </c>
      <c r="AQ38" s="0" t="n">
        <v>2</v>
      </c>
      <c r="AR38" s="0" t="n">
        <v>2</v>
      </c>
      <c r="AS38" s="0" t="n">
        <v>2</v>
      </c>
      <c r="AT38" s="0" t="n">
        <v>2</v>
      </c>
      <c r="AU38" s="0" t="n">
        <v>2</v>
      </c>
      <c r="AV38" s="0" t="n">
        <v>2</v>
      </c>
      <c r="AW38" s="0" t="n">
        <v>2</v>
      </c>
      <c r="AX38" s="0" t="n">
        <v>2</v>
      </c>
      <c r="AY38" s="0" t="n">
        <v>2</v>
      </c>
      <c r="AZ38" s="0" t="n">
        <v>2</v>
      </c>
      <c r="BA38" s="0" t="n">
        <v>2</v>
      </c>
      <c r="BB38" s="0" t="n">
        <v>2</v>
      </c>
      <c r="BC38" s="0" t="n">
        <v>2</v>
      </c>
      <c r="BD38" s="0" t="n">
        <v>2</v>
      </c>
      <c r="BE38" s="0" t="n">
        <v>2</v>
      </c>
      <c r="BF38" s="0" t="n">
        <v>2</v>
      </c>
      <c r="BG38" s="0" t="n">
        <v>2</v>
      </c>
      <c r="BH38" s="0" t="n">
        <v>2</v>
      </c>
    </row>
    <row r="39" customFormat="false" ht="15" hidden="false" customHeight="false" outlineLevel="0" collapsed="false">
      <c r="A39" s="0" t="n">
        <v>38</v>
      </c>
      <c r="B39" s="0" t="s">
        <v>80</v>
      </c>
      <c r="C39" s="0" t="n">
        <v>9.635009</v>
      </c>
      <c r="D39" s="0" t="n">
        <v>9.863213</v>
      </c>
      <c r="E39" s="0" t="n">
        <v>7.678486</v>
      </c>
      <c r="F39" s="0" t="n">
        <v>9.445538</v>
      </c>
      <c r="G39" s="0" t="n">
        <v>9.863588</v>
      </c>
      <c r="H39" s="0" t="n">
        <v>2</v>
      </c>
      <c r="I39" s="0" t="n">
        <v>8.754325</v>
      </c>
      <c r="J39" s="0" t="n">
        <v>8.783788</v>
      </c>
      <c r="K39" s="0" t="n">
        <v>9.486675</v>
      </c>
      <c r="L39" s="0" t="n">
        <v>9.549344</v>
      </c>
      <c r="M39" s="0" t="n">
        <v>8.20481</v>
      </c>
      <c r="N39" s="0" t="n">
        <v>8.387955</v>
      </c>
      <c r="O39" s="0" t="n">
        <v>10</v>
      </c>
      <c r="P39" s="0" t="n">
        <v>8.612306</v>
      </c>
      <c r="Q39" s="0" t="n">
        <v>8.821045</v>
      </c>
      <c r="R39" s="0" t="n">
        <v>8.090478</v>
      </c>
      <c r="S39" s="0" t="n">
        <v>7.249875</v>
      </c>
      <c r="T39" s="0" t="n">
        <v>7.818385</v>
      </c>
      <c r="U39" s="0" t="n">
        <v>7.560775</v>
      </c>
      <c r="V39" s="0" t="n">
        <v>2</v>
      </c>
      <c r="W39" s="0" t="n">
        <v>2</v>
      </c>
      <c r="X39" s="0" t="n">
        <v>2</v>
      </c>
      <c r="Y39" s="0" t="n">
        <v>2</v>
      </c>
      <c r="Z39" s="0" t="n">
        <v>7.311202</v>
      </c>
      <c r="AA39" s="0" t="n">
        <v>2</v>
      </c>
      <c r="AB39" s="0" t="n">
        <v>8.077798</v>
      </c>
      <c r="AC39" s="0" t="n">
        <v>9.765352</v>
      </c>
      <c r="AD39" s="0" t="n">
        <v>2</v>
      </c>
      <c r="AE39" s="0" t="n">
        <v>2</v>
      </c>
      <c r="AF39" s="0" t="n">
        <v>7.234136</v>
      </c>
      <c r="AG39" s="0" t="n">
        <v>2</v>
      </c>
      <c r="AH39" s="0" t="n">
        <v>2</v>
      </c>
      <c r="AI39" s="0" t="n">
        <v>6.756876</v>
      </c>
      <c r="AJ39" s="0" t="n">
        <v>8.033248</v>
      </c>
      <c r="AK39" s="0" t="n">
        <v>8.674621</v>
      </c>
      <c r="AL39" s="0" t="n">
        <v>2</v>
      </c>
      <c r="AM39" s="0" t="n">
        <v>7.615036</v>
      </c>
      <c r="AN39" s="0" t="n">
        <v>6.879682</v>
      </c>
      <c r="AO39" s="0" t="n">
        <v>5.37751</v>
      </c>
      <c r="AP39" s="0" t="n">
        <v>6.30866</v>
      </c>
      <c r="AQ39" s="0" t="n">
        <v>2</v>
      </c>
      <c r="AR39" s="0" t="n">
        <v>2</v>
      </c>
      <c r="AS39" s="0" t="n">
        <v>2</v>
      </c>
      <c r="AT39" s="0" t="n">
        <v>2</v>
      </c>
      <c r="AU39" s="0" t="n">
        <v>2</v>
      </c>
      <c r="AV39" s="0" t="n">
        <v>2</v>
      </c>
      <c r="AW39" s="0" t="n">
        <v>2</v>
      </c>
      <c r="AX39" s="0" t="n">
        <v>2</v>
      </c>
      <c r="AY39" s="0" t="n">
        <v>2</v>
      </c>
      <c r="AZ39" s="0" t="n">
        <v>2</v>
      </c>
      <c r="BA39" s="0" t="n">
        <v>2</v>
      </c>
      <c r="BB39" s="0" t="n">
        <v>2</v>
      </c>
      <c r="BC39" s="0" t="n">
        <v>2</v>
      </c>
      <c r="BD39" s="0" t="n">
        <v>2</v>
      </c>
      <c r="BE39" s="0" t="n">
        <v>2</v>
      </c>
      <c r="BF39" s="0" t="n">
        <v>2</v>
      </c>
      <c r="BG39" s="0" t="n">
        <v>2</v>
      </c>
      <c r="BH39" s="0" t="n">
        <v>2</v>
      </c>
    </row>
    <row r="40" customFormat="false" ht="15" hidden="false" customHeight="false" outlineLevel="0" collapsed="false">
      <c r="A40" s="0" t="n">
        <v>39</v>
      </c>
      <c r="B40" s="0" t="s">
        <v>83</v>
      </c>
      <c r="C40" s="0" t="n">
        <v>9.635009</v>
      </c>
      <c r="D40" s="0" t="n">
        <v>9.863213</v>
      </c>
      <c r="E40" s="0" t="n">
        <v>7.678486</v>
      </c>
      <c r="F40" s="0" t="n">
        <v>9.445538</v>
      </c>
      <c r="G40" s="0" t="n">
        <v>9.863588</v>
      </c>
      <c r="H40" s="0" t="n">
        <v>2</v>
      </c>
      <c r="I40" s="0" t="n">
        <v>8.754325</v>
      </c>
      <c r="J40" s="0" t="n">
        <v>8.783788</v>
      </c>
      <c r="K40" s="0" t="n">
        <v>9.486675</v>
      </c>
      <c r="L40" s="0" t="n">
        <v>9.549344</v>
      </c>
      <c r="M40" s="0" t="n">
        <v>8.20481</v>
      </c>
      <c r="N40" s="0" t="n">
        <v>2</v>
      </c>
      <c r="O40" s="0" t="n">
        <v>10</v>
      </c>
      <c r="P40" s="0" t="n">
        <v>8.612306</v>
      </c>
      <c r="Q40" s="0" t="n">
        <v>8.821045</v>
      </c>
      <c r="R40" s="0" t="n">
        <v>8.090478</v>
      </c>
      <c r="S40" s="0" t="n">
        <v>7.249875</v>
      </c>
      <c r="T40" s="0" t="n">
        <v>2</v>
      </c>
      <c r="U40" s="0" t="n">
        <v>7.560775</v>
      </c>
      <c r="V40" s="0" t="n">
        <v>2</v>
      </c>
      <c r="W40" s="0" t="n">
        <v>2</v>
      </c>
      <c r="X40" s="0" t="n">
        <v>2</v>
      </c>
      <c r="Y40" s="0" t="n">
        <v>2</v>
      </c>
      <c r="Z40" s="0" t="n">
        <v>7.311202</v>
      </c>
      <c r="AA40" s="0" t="n">
        <v>2</v>
      </c>
      <c r="AB40" s="0" t="n">
        <v>8.077798</v>
      </c>
      <c r="AC40" s="0" t="n">
        <v>9.765352</v>
      </c>
      <c r="AD40" s="0" t="n">
        <v>2</v>
      </c>
      <c r="AE40" s="0" t="n">
        <v>2</v>
      </c>
      <c r="AF40" s="0" t="n">
        <v>7.234136</v>
      </c>
      <c r="AG40" s="0" t="n">
        <v>2</v>
      </c>
      <c r="AH40" s="0" t="n">
        <v>2</v>
      </c>
      <c r="AI40" s="0" t="n">
        <v>6.756876</v>
      </c>
      <c r="AJ40" s="0" t="n">
        <v>8.033248</v>
      </c>
      <c r="AK40" s="0" t="n">
        <v>8.674621</v>
      </c>
      <c r="AL40" s="0" t="n">
        <v>2</v>
      </c>
      <c r="AM40" s="0" t="n">
        <v>7.615036</v>
      </c>
      <c r="AN40" s="0" t="n">
        <v>6.879682</v>
      </c>
      <c r="AO40" s="0" t="n">
        <v>5.37751</v>
      </c>
      <c r="AP40" s="0" t="n">
        <v>6.30866</v>
      </c>
      <c r="AQ40" s="0" t="n">
        <v>2</v>
      </c>
      <c r="AR40" s="0" t="n">
        <v>6.137806</v>
      </c>
      <c r="AS40" s="0" t="n">
        <v>2</v>
      </c>
      <c r="AT40" s="0" t="n">
        <v>5.694231</v>
      </c>
      <c r="AU40" s="0" t="n">
        <v>2</v>
      </c>
      <c r="AV40" s="0" t="n">
        <v>2</v>
      </c>
      <c r="AW40" s="0" t="n">
        <v>2</v>
      </c>
      <c r="AX40" s="0" t="n">
        <v>2</v>
      </c>
      <c r="AY40" s="0" t="n">
        <v>2</v>
      </c>
      <c r="AZ40" s="0" t="n">
        <v>2</v>
      </c>
      <c r="BA40" s="0" t="n">
        <v>2</v>
      </c>
      <c r="BB40" s="0" t="n">
        <v>2</v>
      </c>
      <c r="BC40" s="0" t="n">
        <v>2</v>
      </c>
      <c r="BD40" s="0" t="n">
        <v>2</v>
      </c>
      <c r="BE40" s="0" t="n">
        <v>2</v>
      </c>
      <c r="BF40" s="0" t="n">
        <v>2</v>
      </c>
      <c r="BG40" s="0" t="n">
        <v>2</v>
      </c>
      <c r="BH40" s="0" t="n">
        <v>2</v>
      </c>
    </row>
    <row r="41" customFormat="false" ht="15" hidden="false" customHeight="false" outlineLevel="0" collapsed="false">
      <c r="A41" s="0" t="n">
        <v>40</v>
      </c>
      <c r="B41" s="0" t="s">
        <v>59</v>
      </c>
      <c r="C41" s="0" t="n">
        <v>9.635009</v>
      </c>
      <c r="D41" s="0" t="n">
        <v>9.863213</v>
      </c>
      <c r="E41" s="0" t="n">
        <v>7.678486</v>
      </c>
      <c r="F41" s="0" t="n">
        <v>9.445538</v>
      </c>
      <c r="G41" s="0" t="n">
        <v>9.863588</v>
      </c>
      <c r="H41" s="0" t="n">
        <v>5.04081</v>
      </c>
      <c r="I41" s="0" t="n">
        <v>8.754325</v>
      </c>
      <c r="J41" s="0" t="n">
        <v>2</v>
      </c>
      <c r="K41" s="0" t="n">
        <v>9.486675</v>
      </c>
      <c r="L41" s="0" t="n">
        <v>9.549344</v>
      </c>
      <c r="M41" s="0" t="n">
        <v>8.20481</v>
      </c>
      <c r="N41" s="0" t="n">
        <v>8.387955</v>
      </c>
      <c r="O41" s="0" t="n">
        <v>10</v>
      </c>
      <c r="P41" s="0" t="n">
        <v>8.612306</v>
      </c>
      <c r="Q41" s="0" t="n">
        <v>8.821045</v>
      </c>
      <c r="R41" s="0" t="n">
        <v>8.090478</v>
      </c>
      <c r="S41" s="0" t="n">
        <v>7.249875</v>
      </c>
      <c r="T41" s="0" t="n">
        <v>7.818385</v>
      </c>
      <c r="U41" s="0" t="n">
        <v>7.560775</v>
      </c>
      <c r="V41" s="0" t="n">
        <v>2</v>
      </c>
      <c r="W41" s="0" t="n">
        <v>2</v>
      </c>
      <c r="X41" s="0" t="n">
        <v>2</v>
      </c>
      <c r="Y41" s="0" t="n">
        <v>6.086259</v>
      </c>
      <c r="Z41" s="0" t="n">
        <v>7.311202</v>
      </c>
      <c r="AA41" s="0" t="n">
        <v>6.689836</v>
      </c>
      <c r="AB41" s="0" t="n">
        <v>2</v>
      </c>
      <c r="AC41" s="0" t="n">
        <v>9.765352</v>
      </c>
      <c r="AD41" s="0" t="n">
        <v>2</v>
      </c>
      <c r="AE41" s="0" t="n">
        <v>7.060688</v>
      </c>
      <c r="AF41" s="0" t="n">
        <v>7.234136</v>
      </c>
      <c r="AG41" s="0" t="n">
        <v>2</v>
      </c>
      <c r="AH41" s="0" t="n">
        <v>2</v>
      </c>
      <c r="AI41" s="0" t="n">
        <v>6.756876</v>
      </c>
      <c r="AJ41" s="0" t="n">
        <v>8.033248</v>
      </c>
      <c r="AK41" s="0" t="n">
        <v>8.674621</v>
      </c>
      <c r="AL41" s="0" t="n">
        <v>2</v>
      </c>
      <c r="AM41" s="0" t="n">
        <v>7.615036</v>
      </c>
      <c r="AN41" s="0" t="n">
        <v>6.879682</v>
      </c>
      <c r="AO41" s="0" t="n">
        <v>5.37751</v>
      </c>
      <c r="AP41" s="0" t="n">
        <v>6.30866</v>
      </c>
      <c r="AQ41" s="0" t="n">
        <v>2</v>
      </c>
      <c r="AR41" s="0" t="n">
        <v>6.137806</v>
      </c>
      <c r="AS41" s="0" t="n">
        <v>2</v>
      </c>
      <c r="AT41" s="0" t="n">
        <v>5.694231</v>
      </c>
      <c r="AU41" s="0" t="n">
        <v>2</v>
      </c>
      <c r="AV41" s="0" t="n">
        <v>2</v>
      </c>
      <c r="AW41" s="0" t="n">
        <v>2</v>
      </c>
      <c r="AX41" s="0" t="n">
        <v>2</v>
      </c>
      <c r="AY41" s="0" t="n">
        <v>2</v>
      </c>
      <c r="AZ41" s="0" t="n">
        <v>2</v>
      </c>
      <c r="BA41" s="0" t="n">
        <v>2</v>
      </c>
      <c r="BB41" s="0" t="n">
        <v>2</v>
      </c>
      <c r="BC41" s="0" t="n">
        <v>2</v>
      </c>
      <c r="BD41" s="0" t="n">
        <v>2</v>
      </c>
      <c r="BE41" s="0" t="n">
        <v>2</v>
      </c>
      <c r="BF41" s="0" t="n">
        <v>2</v>
      </c>
      <c r="BG41" s="0" t="n">
        <v>2</v>
      </c>
      <c r="BH41" s="0" t="n">
        <v>2</v>
      </c>
    </row>
    <row r="42" customFormat="false" ht="15" hidden="false" customHeight="false" outlineLevel="0" collapsed="false">
      <c r="A42" s="0" t="n">
        <v>41</v>
      </c>
      <c r="B42" s="0" t="s">
        <v>76</v>
      </c>
      <c r="C42" s="0" t="n">
        <v>9.635009</v>
      </c>
      <c r="D42" s="0" t="n">
        <v>9.863213</v>
      </c>
      <c r="E42" s="0" t="n">
        <v>7.678486</v>
      </c>
      <c r="F42" s="0" t="n">
        <v>9.445538</v>
      </c>
      <c r="G42" s="0" t="n">
        <v>9.863588</v>
      </c>
      <c r="H42" s="0" t="n">
        <v>5.04081</v>
      </c>
      <c r="I42" s="0" t="n">
        <v>8.754325</v>
      </c>
      <c r="J42" s="0" t="n">
        <v>8.783788</v>
      </c>
      <c r="K42" s="0" t="n">
        <v>9.486675</v>
      </c>
      <c r="L42" s="0" t="n">
        <v>9.549344</v>
      </c>
      <c r="M42" s="0" t="n">
        <v>8.20481</v>
      </c>
      <c r="N42" s="0" t="n">
        <v>8.387955</v>
      </c>
      <c r="O42" s="0" t="n">
        <v>10</v>
      </c>
      <c r="P42" s="0" t="n">
        <v>8.612306</v>
      </c>
      <c r="Q42" s="0" t="n">
        <v>8.821045</v>
      </c>
      <c r="R42" s="0" t="n">
        <v>8.090478</v>
      </c>
      <c r="S42" s="0" t="n">
        <v>7.249875</v>
      </c>
      <c r="T42" s="0" t="n">
        <v>7.818385</v>
      </c>
      <c r="U42" s="0" t="n">
        <v>7.560775</v>
      </c>
      <c r="V42" s="0" t="n">
        <v>2</v>
      </c>
      <c r="W42" s="0" t="n">
        <v>2</v>
      </c>
      <c r="X42" s="0" t="n">
        <v>5.35172</v>
      </c>
      <c r="Y42" s="0" t="n">
        <v>6.086259</v>
      </c>
      <c r="Z42" s="0" t="n">
        <v>7.311202</v>
      </c>
      <c r="AA42" s="0" t="n">
        <v>6.689836</v>
      </c>
      <c r="AB42" s="0" t="n">
        <v>8.077798</v>
      </c>
      <c r="AC42" s="0" t="n">
        <v>9.765352</v>
      </c>
      <c r="AD42" s="0" t="n">
        <v>6.361713</v>
      </c>
      <c r="AE42" s="0" t="n">
        <v>2</v>
      </c>
      <c r="AF42" s="0" t="n">
        <v>7.234136</v>
      </c>
      <c r="AG42" s="0" t="n">
        <v>2</v>
      </c>
      <c r="AH42" s="0" t="n">
        <v>2</v>
      </c>
      <c r="AI42" s="0" t="n">
        <v>6.756876</v>
      </c>
      <c r="AJ42" s="0" t="n">
        <v>8.033248</v>
      </c>
      <c r="AK42" s="0" t="n">
        <v>8.674621</v>
      </c>
      <c r="AL42" s="0" t="n">
        <v>2</v>
      </c>
      <c r="AM42" s="0" t="n">
        <v>7.615036</v>
      </c>
      <c r="AN42" s="0" t="n">
        <v>6.879682</v>
      </c>
      <c r="AO42" s="0" t="n">
        <v>5.37751</v>
      </c>
      <c r="AP42" s="0" t="n">
        <v>2</v>
      </c>
      <c r="AQ42" s="0" t="n">
        <v>2</v>
      </c>
      <c r="AR42" s="0" t="n">
        <v>6.137806</v>
      </c>
      <c r="AS42" s="0" t="n">
        <v>2</v>
      </c>
      <c r="AT42" s="0" t="n">
        <v>2</v>
      </c>
      <c r="AU42" s="0" t="n">
        <v>2</v>
      </c>
      <c r="AV42" s="0" t="n">
        <v>2</v>
      </c>
      <c r="AW42" s="0" t="n">
        <v>2</v>
      </c>
      <c r="AX42" s="0" t="n">
        <v>2</v>
      </c>
      <c r="AY42" s="0" t="n">
        <v>2</v>
      </c>
      <c r="AZ42" s="0" t="n">
        <v>2</v>
      </c>
      <c r="BA42" s="0" t="n">
        <v>2</v>
      </c>
      <c r="BB42" s="0" t="n">
        <v>2</v>
      </c>
      <c r="BC42" s="0" t="n">
        <v>2</v>
      </c>
      <c r="BD42" s="0" t="n">
        <v>2</v>
      </c>
      <c r="BE42" s="0" t="n">
        <v>2</v>
      </c>
      <c r="BF42" s="0" t="n">
        <v>2</v>
      </c>
      <c r="BG42" s="0" t="n">
        <v>2</v>
      </c>
      <c r="BH42" s="0" t="n">
        <v>2</v>
      </c>
    </row>
    <row r="43" customFormat="false" ht="15" hidden="false" customHeight="false" outlineLevel="0" collapsed="false">
      <c r="A43" s="0" t="n">
        <v>42</v>
      </c>
      <c r="B43" s="0" t="s">
        <v>87</v>
      </c>
      <c r="C43" s="0" t="n">
        <v>9.635009</v>
      </c>
      <c r="D43" s="0" t="n">
        <v>2</v>
      </c>
      <c r="E43" s="0" t="n">
        <v>7.678486</v>
      </c>
      <c r="F43" s="0" t="n">
        <v>9.445538</v>
      </c>
      <c r="G43" s="0" t="n">
        <v>9.863588</v>
      </c>
      <c r="H43" s="0" t="n">
        <v>2</v>
      </c>
      <c r="I43" s="0" t="n">
        <v>8.754325</v>
      </c>
      <c r="J43" s="0" t="n">
        <v>8.783788</v>
      </c>
      <c r="K43" s="0" t="n">
        <v>9.486675</v>
      </c>
      <c r="L43" s="0" t="n">
        <v>9.549344</v>
      </c>
      <c r="M43" s="0" t="n">
        <v>8.20481</v>
      </c>
      <c r="N43" s="0" t="n">
        <v>8.387955</v>
      </c>
      <c r="O43" s="0" t="n">
        <v>10</v>
      </c>
      <c r="P43" s="0" t="n">
        <v>8.612306</v>
      </c>
      <c r="Q43" s="0" t="n">
        <v>8.821045</v>
      </c>
      <c r="R43" s="0" t="n">
        <v>8.090478</v>
      </c>
      <c r="S43" s="0" t="n">
        <v>7.249875</v>
      </c>
      <c r="T43" s="0" t="n">
        <v>7.818385</v>
      </c>
      <c r="U43" s="0" t="n">
        <v>7.560775</v>
      </c>
      <c r="V43" s="0" t="n">
        <v>5.964559</v>
      </c>
      <c r="W43" s="0" t="n">
        <v>6.165883</v>
      </c>
      <c r="X43" s="0" t="n">
        <v>2</v>
      </c>
      <c r="Y43" s="0" t="n">
        <v>6.086259</v>
      </c>
      <c r="Z43" s="0" t="n">
        <v>7.311202</v>
      </c>
      <c r="AA43" s="0" t="n">
        <v>6.689836</v>
      </c>
      <c r="AB43" s="0" t="n">
        <v>8.077798</v>
      </c>
      <c r="AC43" s="0" t="n">
        <v>9.765352</v>
      </c>
      <c r="AD43" s="0" t="n">
        <v>2</v>
      </c>
      <c r="AE43" s="0" t="n">
        <v>7.060688</v>
      </c>
      <c r="AF43" s="0" t="n">
        <v>7.234136</v>
      </c>
      <c r="AG43" s="0" t="n">
        <v>2</v>
      </c>
      <c r="AH43" s="0" t="n">
        <v>2</v>
      </c>
      <c r="AI43" s="0" t="n">
        <v>2</v>
      </c>
      <c r="AJ43" s="0" t="n">
        <v>8.033248</v>
      </c>
      <c r="AK43" s="0" t="n">
        <v>8.674621</v>
      </c>
      <c r="AL43" s="0" t="n">
        <v>2</v>
      </c>
      <c r="AM43" s="0" t="n">
        <v>7.615036</v>
      </c>
      <c r="AN43" s="0" t="n">
        <v>6.879682</v>
      </c>
      <c r="AO43" s="0" t="n">
        <v>5.37751</v>
      </c>
      <c r="AP43" s="0" t="n">
        <v>2</v>
      </c>
      <c r="AQ43" s="0" t="n">
        <v>2</v>
      </c>
      <c r="AR43" s="0" t="n">
        <v>6.137806</v>
      </c>
      <c r="AS43" s="0" t="n">
        <v>2</v>
      </c>
      <c r="AT43" s="0" t="n">
        <v>2</v>
      </c>
      <c r="AU43" s="0" t="n">
        <v>2</v>
      </c>
      <c r="AV43" s="0" t="n">
        <v>2</v>
      </c>
      <c r="AW43" s="0" t="n">
        <v>2</v>
      </c>
      <c r="AX43" s="0" t="n">
        <v>2</v>
      </c>
      <c r="AY43" s="0" t="n">
        <v>2</v>
      </c>
      <c r="AZ43" s="0" t="n">
        <v>2</v>
      </c>
      <c r="BA43" s="0" t="n">
        <v>2</v>
      </c>
      <c r="BB43" s="0" t="n">
        <v>2</v>
      </c>
      <c r="BC43" s="0" t="n">
        <v>2</v>
      </c>
      <c r="BD43" s="0" t="n">
        <v>2</v>
      </c>
      <c r="BE43" s="0" t="n">
        <v>2</v>
      </c>
      <c r="BF43" s="0" t="n">
        <v>2</v>
      </c>
      <c r="BG43" s="0" t="n">
        <v>2</v>
      </c>
      <c r="BH43" s="0" t="n">
        <v>2</v>
      </c>
    </row>
    <row r="44" customFormat="false" ht="15" hidden="false" customHeight="false" outlineLevel="0" collapsed="false">
      <c r="A44" s="0" t="n">
        <v>43</v>
      </c>
      <c r="B44" s="0" t="s">
        <v>117</v>
      </c>
      <c r="C44" s="0" t="n">
        <v>2</v>
      </c>
      <c r="D44" s="0" t="n">
        <v>9.863213</v>
      </c>
      <c r="E44" s="0" t="n">
        <v>7.678486</v>
      </c>
      <c r="F44" s="0" t="n">
        <v>2</v>
      </c>
      <c r="G44" s="0" t="n">
        <v>2</v>
      </c>
      <c r="H44" s="0" t="n">
        <v>2</v>
      </c>
      <c r="I44" s="0" t="n">
        <v>8.754325</v>
      </c>
      <c r="J44" s="0" t="n">
        <v>2</v>
      </c>
      <c r="K44" s="0" t="n">
        <v>2</v>
      </c>
      <c r="L44" s="0" t="n">
        <v>9.549344</v>
      </c>
      <c r="M44" s="0" t="n">
        <v>8.20481</v>
      </c>
      <c r="N44" s="0" t="n">
        <v>2</v>
      </c>
      <c r="O44" s="0" t="n">
        <v>10</v>
      </c>
      <c r="P44" s="0" t="n">
        <v>8.612306</v>
      </c>
      <c r="Q44" s="0" t="n">
        <v>8.821045</v>
      </c>
      <c r="R44" s="0" t="n">
        <v>8.090478</v>
      </c>
      <c r="S44" s="0" t="n">
        <v>7.249875</v>
      </c>
      <c r="T44" s="0" t="n">
        <v>2</v>
      </c>
      <c r="U44" s="0" t="n">
        <v>7.560775</v>
      </c>
      <c r="V44" s="0" t="n">
        <v>2</v>
      </c>
      <c r="W44" s="0" t="n">
        <v>2</v>
      </c>
      <c r="X44" s="0" t="n">
        <v>5.35172</v>
      </c>
      <c r="Y44" s="0" t="n">
        <v>2</v>
      </c>
      <c r="Z44" s="0" t="n">
        <v>7.311202</v>
      </c>
      <c r="AA44" s="0" t="n">
        <v>6.689836</v>
      </c>
      <c r="AB44" s="0" t="n">
        <v>2</v>
      </c>
      <c r="AC44" s="0" t="n">
        <v>9.765352</v>
      </c>
      <c r="AD44" s="0" t="n">
        <v>2</v>
      </c>
      <c r="AE44" s="0" t="n">
        <v>2</v>
      </c>
      <c r="AF44" s="0" t="n">
        <v>7.234136</v>
      </c>
      <c r="AG44" s="0" t="n">
        <v>2</v>
      </c>
      <c r="AH44" s="0" t="n">
        <v>2</v>
      </c>
      <c r="AI44" s="0" t="n">
        <v>6.756876</v>
      </c>
      <c r="AJ44" s="0" t="n">
        <v>8.033248</v>
      </c>
      <c r="AK44" s="0" t="n">
        <v>2</v>
      </c>
      <c r="AL44" s="0" t="n">
        <v>2</v>
      </c>
      <c r="AM44" s="0" t="n">
        <v>2</v>
      </c>
      <c r="AN44" s="0" t="n">
        <v>6.879682</v>
      </c>
      <c r="AO44" s="0" t="n">
        <v>2</v>
      </c>
      <c r="AP44" s="0" t="n">
        <v>6.30866</v>
      </c>
      <c r="AQ44" s="0" t="n">
        <v>2</v>
      </c>
      <c r="AR44" s="0" t="n">
        <v>2</v>
      </c>
      <c r="AS44" s="0" t="n">
        <v>2</v>
      </c>
      <c r="AT44" s="0" t="n">
        <v>2</v>
      </c>
      <c r="AU44" s="0" t="n">
        <v>2</v>
      </c>
      <c r="AV44" s="0" t="n">
        <v>2</v>
      </c>
      <c r="AW44" s="0" t="n">
        <v>2</v>
      </c>
      <c r="AX44" s="0" t="n">
        <v>2</v>
      </c>
      <c r="AY44" s="0" t="n">
        <v>2</v>
      </c>
      <c r="AZ44" s="0" t="n">
        <v>2</v>
      </c>
      <c r="BA44" s="0" t="n">
        <v>2</v>
      </c>
      <c r="BB44" s="0" t="n">
        <v>2</v>
      </c>
      <c r="BC44" s="0" t="n">
        <v>2</v>
      </c>
      <c r="BD44" s="0" t="n">
        <v>2</v>
      </c>
      <c r="BE44" s="0" t="n">
        <v>2</v>
      </c>
      <c r="BF44" s="0" t="n">
        <v>2</v>
      </c>
      <c r="BG44" s="0" t="n">
        <v>2</v>
      </c>
      <c r="BH44" s="0" t="n">
        <v>2</v>
      </c>
    </row>
    <row r="45" customFormat="false" ht="15" hidden="false" customHeight="false" outlineLevel="0" collapsed="false">
      <c r="A45" s="0" t="n">
        <v>44</v>
      </c>
      <c r="B45" s="0" t="s">
        <v>116</v>
      </c>
      <c r="C45" s="0" t="n">
        <v>2</v>
      </c>
      <c r="D45" s="0" t="n">
        <v>9.863213</v>
      </c>
      <c r="E45" s="0" t="n">
        <v>7.678486</v>
      </c>
      <c r="F45" s="0" t="n">
        <v>2</v>
      </c>
      <c r="G45" s="0" t="n">
        <v>2</v>
      </c>
      <c r="H45" s="0" t="n">
        <v>2</v>
      </c>
      <c r="I45" s="0" t="n">
        <v>8.754325</v>
      </c>
      <c r="J45" s="0" t="n">
        <v>2</v>
      </c>
      <c r="K45" s="0" t="n">
        <v>9.486675</v>
      </c>
      <c r="L45" s="0" t="n">
        <v>9.549344</v>
      </c>
      <c r="M45" s="0" t="n">
        <v>8.20481</v>
      </c>
      <c r="N45" s="0" t="n">
        <v>8.387955</v>
      </c>
      <c r="O45" s="0" t="n">
        <v>10</v>
      </c>
      <c r="P45" s="0" t="n">
        <v>8.612306</v>
      </c>
      <c r="Q45" s="0" t="n">
        <v>8.821045</v>
      </c>
      <c r="R45" s="0" t="n">
        <v>8.090478</v>
      </c>
      <c r="S45" s="0" t="n">
        <v>7.249875</v>
      </c>
      <c r="T45" s="0" t="n">
        <v>7.818385</v>
      </c>
      <c r="U45" s="0" t="n">
        <v>7.560775</v>
      </c>
      <c r="V45" s="0" t="n">
        <v>2</v>
      </c>
      <c r="W45" s="0" t="n">
        <v>6.165883</v>
      </c>
      <c r="X45" s="0" t="n">
        <v>5.35172</v>
      </c>
      <c r="Y45" s="0" t="n">
        <v>6.086259</v>
      </c>
      <c r="Z45" s="0" t="n">
        <v>7.311202</v>
      </c>
      <c r="AA45" s="0" t="n">
        <v>6.689836</v>
      </c>
      <c r="AB45" s="0" t="n">
        <v>8.077798</v>
      </c>
      <c r="AC45" s="0" t="n">
        <v>9.765352</v>
      </c>
      <c r="AD45" s="0" t="n">
        <v>2</v>
      </c>
      <c r="AE45" s="0" t="n">
        <v>2</v>
      </c>
      <c r="AF45" s="0" t="n">
        <v>7.234136</v>
      </c>
      <c r="AG45" s="0" t="n">
        <v>2</v>
      </c>
      <c r="AH45" s="0" t="n">
        <v>2</v>
      </c>
      <c r="AI45" s="0" t="n">
        <v>6.756876</v>
      </c>
      <c r="AJ45" s="0" t="n">
        <v>8.033248</v>
      </c>
      <c r="AK45" s="0" t="n">
        <v>8.674621</v>
      </c>
      <c r="AL45" s="0" t="n">
        <v>2</v>
      </c>
      <c r="AM45" s="0" t="n">
        <v>7.615036</v>
      </c>
      <c r="AN45" s="0" t="n">
        <v>6.879682</v>
      </c>
      <c r="AO45" s="0" t="n">
        <v>5.37751</v>
      </c>
      <c r="AP45" s="0" t="n">
        <v>2</v>
      </c>
      <c r="AQ45" s="0" t="n">
        <v>2</v>
      </c>
      <c r="AR45" s="0" t="n">
        <v>6.137806</v>
      </c>
      <c r="AS45" s="0" t="n">
        <v>2</v>
      </c>
      <c r="AT45" s="0" t="n">
        <v>2</v>
      </c>
      <c r="AU45" s="0" t="n">
        <v>2</v>
      </c>
      <c r="AV45" s="0" t="n">
        <v>2</v>
      </c>
      <c r="AW45" s="0" t="n">
        <v>2</v>
      </c>
      <c r="AX45" s="0" t="n">
        <v>2</v>
      </c>
      <c r="AY45" s="0" t="n">
        <v>2</v>
      </c>
      <c r="AZ45" s="0" t="n">
        <v>2</v>
      </c>
      <c r="BA45" s="0" t="n">
        <v>2</v>
      </c>
      <c r="BB45" s="0" t="n">
        <v>2</v>
      </c>
      <c r="BC45" s="0" t="n">
        <v>2</v>
      </c>
      <c r="BD45" s="0" t="n">
        <v>2</v>
      </c>
      <c r="BE45" s="0" t="n">
        <v>2</v>
      </c>
      <c r="BF45" s="0" t="n">
        <v>2</v>
      </c>
      <c r="BG45" s="0" t="n">
        <v>2</v>
      </c>
      <c r="BH45" s="0" t="n">
        <v>2</v>
      </c>
    </row>
    <row r="46" customFormat="false" ht="15" hidden="false" customHeight="false" outlineLevel="0" collapsed="false">
      <c r="A46" s="0" t="n">
        <v>45</v>
      </c>
      <c r="B46" s="0" t="s">
        <v>85</v>
      </c>
      <c r="C46" s="0" t="n">
        <v>2</v>
      </c>
      <c r="D46" s="0" t="n">
        <v>2</v>
      </c>
      <c r="E46" s="0" t="n">
        <v>7.678486</v>
      </c>
      <c r="F46" s="0" t="n">
        <v>2</v>
      </c>
      <c r="G46" s="0" t="n">
        <v>2</v>
      </c>
      <c r="H46" s="0" t="n">
        <v>2</v>
      </c>
      <c r="I46" s="0" t="n">
        <v>8.754325</v>
      </c>
      <c r="J46" s="0" t="n">
        <v>2</v>
      </c>
      <c r="K46" s="0" t="n">
        <v>9.486675</v>
      </c>
      <c r="L46" s="0" t="n">
        <v>9.549344</v>
      </c>
      <c r="M46" s="0" t="n">
        <v>8.20481</v>
      </c>
      <c r="N46" s="0" t="n">
        <v>8.387955</v>
      </c>
      <c r="O46" s="0" t="n">
        <v>2</v>
      </c>
      <c r="P46" s="0" t="n">
        <v>2</v>
      </c>
      <c r="Q46" s="0" t="n">
        <v>8.821045</v>
      </c>
      <c r="R46" s="0" t="n">
        <v>8.090478</v>
      </c>
      <c r="S46" s="0" t="n">
        <v>2</v>
      </c>
      <c r="T46" s="0" t="n">
        <v>7.818385</v>
      </c>
      <c r="U46" s="0" t="n">
        <v>7.560775</v>
      </c>
      <c r="V46" s="0" t="n">
        <v>5.964559</v>
      </c>
      <c r="W46" s="0" t="n">
        <v>6.165883</v>
      </c>
      <c r="X46" s="0" t="n">
        <v>5.35172</v>
      </c>
      <c r="Y46" s="0" t="n">
        <v>6.086259</v>
      </c>
      <c r="Z46" s="0" t="n">
        <v>7.311202</v>
      </c>
      <c r="AA46" s="0" t="n">
        <v>6.689836</v>
      </c>
      <c r="AB46" s="0" t="n">
        <v>2</v>
      </c>
      <c r="AC46" s="0" t="n">
        <v>2</v>
      </c>
      <c r="AD46" s="0" t="n">
        <v>2</v>
      </c>
      <c r="AE46" s="0" t="n">
        <v>7.060688</v>
      </c>
      <c r="AF46" s="0" t="n">
        <v>7.234136</v>
      </c>
      <c r="AG46" s="0" t="n">
        <v>2</v>
      </c>
      <c r="AH46" s="0" t="n">
        <v>2</v>
      </c>
      <c r="AI46" s="0" t="n">
        <v>6.756876</v>
      </c>
      <c r="AJ46" s="0" t="n">
        <v>8.033248</v>
      </c>
      <c r="AK46" s="0" t="n">
        <v>8.674621</v>
      </c>
      <c r="AL46" s="0" t="n">
        <v>6.64185</v>
      </c>
      <c r="AM46" s="0" t="n">
        <v>7.615036</v>
      </c>
      <c r="AN46" s="0" t="n">
        <v>6.879682</v>
      </c>
      <c r="AO46" s="0" t="n">
        <v>5.37751</v>
      </c>
      <c r="AP46" s="0" t="n">
        <v>6.30866</v>
      </c>
      <c r="AQ46" s="0" t="n">
        <v>2</v>
      </c>
      <c r="AR46" s="0" t="n">
        <v>6.137806</v>
      </c>
      <c r="AS46" s="0" t="n">
        <v>6.013562</v>
      </c>
      <c r="AT46" s="0" t="n">
        <v>5.694231</v>
      </c>
      <c r="AU46" s="0" t="n">
        <v>2</v>
      </c>
      <c r="AV46" s="0" t="n">
        <v>3.185379</v>
      </c>
      <c r="AW46" s="0" t="n">
        <v>2</v>
      </c>
      <c r="AX46" s="0" t="n">
        <v>2</v>
      </c>
      <c r="AY46" s="0" t="n">
        <v>2</v>
      </c>
      <c r="AZ46" s="0" t="n">
        <v>2</v>
      </c>
      <c r="BA46" s="0" t="n">
        <v>2</v>
      </c>
      <c r="BB46" s="0" t="n">
        <v>2</v>
      </c>
      <c r="BC46" s="0" t="n">
        <v>2</v>
      </c>
      <c r="BD46" s="0" t="n">
        <v>2</v>
      </c>
      <c r="BE46" s="0" t="n">
        <v>2</v>
      </c>
      <c r="BF46" s="0" t="n">
        <v>2</v>
      </c>
      <c r="BG46" s="0" t="n">
        <v>2</v>
      </c>
      <c r="BH46" s="0" t="n">
        <v>2</v>
      </c>
    </row>
    <row r="47" customFormat="false" ht="15" hidden="false" customHeight="false" outlineLevel="0" collapsed="false">
      <c r="A47" s="0" t="n">
        <v>46</v>
      </c>
      <c r="B47" s="0" t="s">
        <v>112</v>
      </c>
      <c r="C47" s="0" t="n">
        <v>2</v>
      </c>
      <c r="D47" s="0" t="n">
        <v>2</v>
      </c>
      <c r="E47" s="0" t="n">
        <v>7.678486</v>
      </c>
      <c r="F47" s="0" t="n">
        <v>2</v>
      </c>
      <c r="G47" s="0" t="n">
        <v>2</v>
      </c>
      <c r="H47" s="0" t="n">
        <v>2</v>
      </c>
      <c r="I47" s="0" t="n">
        <v>8.754325</v>
      </c>
      <c r="J47" s="0" t="n">
        <v>8.783788</v>
      </c>
      <c r="K47" s="0" t="n">
        <v>9.486675</v>
      </c>
      <c r="L47" s="0" t="n">
        <v>9.549344</v>
      </c>
      <c r="M47" s="0" t="n">
        <v>2</v>
      </c>
      <c r="N47" s="0" t="n">
        <v>8.387955</v>
      </c>
      <c r="O47" s="0" t="n">
        <v>2</v>
      </c>
      <c r="P47" s="0" t="n">
        <v>2</v>
      </c>
      <c r="Q47" s="0" t="n">
        <v>8.821045</v>
      </c>
      <c r="R47" s="0" t="n">
        <v>8.090478</v>
      </c>
      <c r="S47" s="0" t="n">
        <v>7.249875</v>
      </c>
      <c r="T47" s="0" t="n">
        <v>7.818385</v>
      </c>
      <c r="U47" s="0" t="n">
        <v>7.560775</v>
      </c>
      <c r="V47" s="0" t="n">
        <v>5.964559</v>
      </c>
      <c r="W47" s="0" t="n">
        <v>6.165883</v>
      </c>
      <c r="X47" s="0" t="n">
        <v>5.35172</v>
      </c>
      <c r="Y47" s="0" t="n">
        <v>6.086259</v>
      </c>
      <c r="Z47" s="0" t="n">
        <v>7.311202</v>
      </c>
      <c r="AA47" s="0" t="n">
        <v>6.689836</v>
      </c>
      <c r="AB47" s="0" t="n">
        <v>2</v>
      </c>
      <c r="AC47" s="0" t="n">
        <v>9.765352</v>
      </c>
      <c r="AD47" s="0" t="n">
        <v>2</v>
      </c>
      <c r="AE47" s="0" t="n">
        <v>7.060688</v>
      </c>
      <c r="AF47" s="0" t="n">
        <v>7.234136</v>
      </c>
      <c r="AG47" s="0" t="n">
        <v>2</v>
      </c>
      <c r="AH47" s="0" t="n">
        <v>3.63339</v>
      </c>
      <c r="AI47" s="0" t="n">
        <v>6.756876</v>
      </c>
      <c r="AJ47" s="0" t="n">
        <v>8.033248</v>
      </c>
      <c r="AK47" s="0" t="n">
        <v>8.674621</v>
      </c>
      <c r="AL47" s="0" t="n">
        <v>2</v>
      </c>
      <c r="AM47" s="0" t="n">
        <v>7.615036</v>
      </c>
      <c r="AN47" s="0" t="n">
        <v>6.879682</v>
      </c>
      <c r="AO47" s="0" t="n">
        <v>5.37751</v>
      </c>
      <c r="AP47" s="0" t="n">
        <v>6.30866</v>
      </c>
      <c r="AQ47" s="0" t="n">
        <v>3.640498</v>
      </c>
      <c r="AR47" s="0" t="n">
        <v>6.137806</v>
      </c>
      <c r="AS47" s="0" t="n">
        <v>6.013562</v>
      </c>
      <c r="AT47" s="0" t="n">
        <v>5.694231</v>
      </c>
      <c r="AU47" s="0" t="n">
        <v>3.185382</v>
      </c>
      <c r="AV47" s="0" t="n">
        <v>2</v>
      </c>
      <c r="AW47" s="0" t="n">
        <v>2</v>
      </c>
      <c r="AX47" s="0" t="n">
        <v>2</v>
      </c>
      <c r="AY47" s="0" t="n">
        <v>2</v>
      </c>
      <c r="AZ47" s="0" t="n">
        <v>2</v>
      </c>
      <c r="BA47" s="0" t="n">
        <v>2</v>
      </c>
      <c r="BB47" s="0" t="n">
        <v>2</v>
      </c>
      <c r="BC47" s="0" t="n">
        <v>2</v>
      </c>
      <c r="BD47" s="0" t="n">
        <v>2</v>
      </c>
      <c r="BE47" s="0" t="n">
        <v>2</v>
      </c>
      <c r="BF47" s="0" t="n">
        <v>2</v>
      </c>
      <c r="BG47" s="0" t="n">
        <v>2</v>
      </c>
      <c r="BH47" s="0" t="n">
        <v>2</v>
      </c>
    </row>
    <row r="48" customFormat="false" ht="15" hidden="false" customHeight="false" outlineLevel="0" collapsed="false">
      <c r="A48" s="0" t="n">
        <v>47</v>
      </c>
      <c r="B48" s="0" t="s">
        <v>113</v>
      </c>
      <c r="C48" s="0" t="n">
        <v>2</v>
      </c>
      <c r="D48" s="0" t="n">
        <v>2</v>
      </c>
      <c r="E48" s="0" t="n">
        <v>7.678486</v>
      </c>
      <c r="F48" s="0" t="n">
        <v>2</v>
      </c>
      <c r="G48" s="0" t="n">
        <v>2</v>
      </c>
      <c r="H48" s="0" t="n">
        <v>2</v>
      </c>
      <c r="I48" s="0" t="n">
        <v>8.754325</v>
      </c>
      <c r="J48" s="0" t="n">
        <v>8.783788</v>
      </c>
      <c r="K48" s="0" t="n">
        <v>2</v>
      </c>
      <c r="L48" s="0" t="n">
        <v>9.549344</v>
      </c>
      <c r="M48" s="0" t="n">
        <v>2</v>
      </c>
      <c r="N48" s="0" t="n">
        <v>8.387955</v>
      </c>
      <c r="O48" s="0" t="n">
        <v>2</v>
      </c>
      <c r="P48" s="0" t="n">
        <v>8.612306</v>
      </c>
      <c r="Q48" s="0" t="n">
        <v>8.821045</v>
      </c>
      <c r="R48" s="0" t="n">
        <v>8.090478</v>
      </c>
      <c r="S48" s="0" t="n">
        <v>7.249875</v>
      </c>
      <c r="T48" s="0" t="n">
        <v>7.818385</v>
      </c>
      <c r="U48" s="0" t="n">
        <v>7.560775</v>
      </c>
      <c r="V48" s="0" t="n">
        <v>5.964559</v>
      </c>
      <c r="W48" s="0" t="n">
        <v>6.165883</v>
      </c>
      <c r="X48" s="0" t="n">
        <v>5.35172</v>
      </c>
      <c r="Y48" s="0" t="n">
        <v>6.086259</v>
      </c>
      <c r="Z48" s="0" t="n">
        <v>7.311202</v>
      </c>
      <c r="AA48" s="0" t="n">
        <v>6.689836</v>
      </c>
      <c r="AB48" s="0" t="n">
        <v>2</v>
      </c>
      <c r="AC48" s="0" t="n">
        <v>2</v>
      </c>
      <c r="AD48" s="0" t="n">
        <v>2</v>
      </c>
      <c r="AE48" s="0" t="n">
        <v>7.060688</v>
      </c>
      <c r="AF48" s="0" t="n">
        <v>7.234136</v>
      </c>
      <c r="AG48" s="0" t="n">
        <v>2</v>
      </c>
      <c r="AH48" s="0" t="n">
        <v>2</v>
      </c>
      <c r="AI48" s="0" t="n">
        <v>6.756876</v>
      </c>
      <c r="AJ48" s="0" t="n">
        <v>8.033248</v>
      </c>
      <c r="AK48" s="0" t="n">
        <v>2</v>
      </c>
      <c r="AL48" s="0" t="n">
        <v>6.64185</v>
      </c>
      <c r="AM48" s="0" t="n">
        <v>7.615036</v>
      </c>
      <c r="AN48" s="0" t="n">
        <v>6.879682</v>
      </c>
      <c r="AO48" s="0" t="n">
        <v>5.37751</v>
      </c>
      <c r="AP48" s="0" t="n">
        <v>6.30866</v>
      </c>
      <c r="AQ48" s="0" t="n">
        <v>3.640498</v>
      </c>
      <c r="AR48" s="0" t="n">
        <v>6.137806</v>
      </c>
      <c r="AS48" s="0" t="n">
        <v>6.013562</v>
      </c>
      <c r="AT48" s="0" t="n">
        <v>5.694231</v>
      </c>
      <c r="AU48" s="0" t="n">
        <v>3.185382</v>
      </c>
      <c r="AV48" s="0" t="n">
        <v>3.185379</v>
      </c>
      <c r="AW48" s="0" t="n">
        <v>2</v>
      </c>
      <c r="AX48" s="0" t="n">
        <v>2</v>
      </c>
      <c r="AY48" s="0" t="n">
        <v>2</v>
      </c>
      <c r="AZ48" s="0" t="n">
        <v>2</v>
      </c>
      <c r="BA48" s="0" t="n">
        <v>2</v>
      </c>
      <c r="BB48" s="0" t="n">
        <v>2</v>
      </c>
      <c r="BC48" s="0" t="n">
        <v>2</v>
      </c>
      <c r="BD48" s="0" t="n">
        <v>2</v>
      </c>
      <c r="BE48" s="0" t="n">
        <v>2</v>
      </c>
      <c r="BF48" s="0" t="n">
        <v>2</v>
      </c>
      <c r="BG48" s="0" t="n">
        <v>2</v>
      </c>
      <c r="BH48" s="0" t="n">
        <v>2</v>
      </c>
    </row>
    <row r="49" customFormat="false" ht="15" hidden="false" customHeight="false" outlineLevel="0" collapsed="false">
      <c r="A49" s="0" t="n">
        <v>48</v>
      </c>
      <c r="B49" s="0" t="s">
        <v>74</v>
      </c>
      <c r="C49" s="0" t="n">
        <v>2</v>
      </c>
      <c r="D49" s="0" t="n">
        <v>2</v>
      </c>
      <c r="E49" s="0" t="n">
        <v>7.678486</v>
      </c>
      <c r="F49" s="0" t="n">
        <v>2</v>
      </c>
      <c r="G49" s="0" t="n">
        <v>2</v>
      </c>
      <c r="H49" s="0" t="n">
        <v>2</v>
      </c>
      <c r="I49" s="0" t="n">
        <v>8.754325</v>
      </c>
      <c r="J49" s="0" t="n">
        <v>8.783788</v>
      </c>
      <c r="K49" s="0" t="n">
        <v>9.486675</v>
      </c>
      <c r="L49" s="0" t="n">
        <v>2</v>
      </c>
      <c r="M49" s="0" t="n">
        <v>2</v>
      </c>
      <c r="N49" s="0" t="n">
        <v>8.387955</v>
      </c>
      <c r="O49" s="0" t="n">
        <v>2</v>
      </c>
      <c r="P49" s="0" t="n">
        <v>8.612306</v>
      </c>
      <c r="Q49" s="0" t="n">
        <v>8.821045</v>
      </c>
      <c r="R49" s="0" t="n">
        <v>8.090478</v>
      </c>
      <c r="S49" s="0" t="n">
        <v>7.249875</v>
      </c>
      <c r="T49" s="0" t="n">
        <v>7.818385</v>
      </c>
      <c r="U49" s="0" t="n">
        <v>7.560775</v>
      </c>
      <c r="V49" s="0" t="n">
        <v>5.964559</v>
      </c>
      <c r="W49" s="0" t="n">
        <v>6.165883</v>
      </c>
      <c r="X49" s="0" t="n">
        <v>5.35172</v>
      </c>
      <c r="Y49" s="0" t="n">
        <v>6.086259</v>
      </c>
      <c r="Z49" s="0" t="n">
        <v>7.311202</v>
      </c>
      <c r="AA49" s="0" t="n">
        <v>6.689836</v>
      </c>
      <c r="AB49" s="0" t="n">
        <v>2</v>
      </c>
      <c r="AC49" s="0" t="n">
        <v>2</v>
      </c>
      <c r="AD49" s="0" t="n">
        <v>2</v>
      </c>
      <c r="AE49" s="0" t="n">
        <v>2</v>
      </c>
      <c r="AF49" s="0" t="n">
        <v>7.234136</v>
      </c>
      <c r="AG49" s="0" t="n">
        <v>5.590635</v>
      </c>
      <c r="AH49" s="0" t="n">
        <v>3.63339</v>
      </c>
      <c r="AI49" s="0" t="n">
        <v>6.756876</v>
      </c>
      <c r="AJ49" s="0" t="n">
        <v>8.033248</v>
      </c>
      <c r="AK49" s="0" t="n">
        <v>2</v>
      </c>
      <c r="AL49" s="0" t="n">
        <v>6.64185</v>
      </c>
      <c r="AM49" s="0" t="n">
        <v>7.615036</v>
      </c>
      <c r="AN49" s="0" t="n">
        <v>6.879682</v>
      </c>
      <c r="AO49" s="0" t="n">
        <v>5.37751</v>
      </c>
      <c r="AP49" s="0" t="n">
        <v>2</v>
      </c>
      <c r="AQ49" s="0" t="n">
        <v>2</v>
      </c>
      <c r="AR49" s="0" t="n">
        <v>2</v>
      </c>
      <c r="AS49" s="0" t="n">
        <v>2</v>
      </c>
      <c r="AT49" s="0" t="n">
        <v>2</v>
      </c>
      <c r="AU49" s="0" t="n">
        <v>3.185382</v>
      </c>
      <c r="AV49" s="0" t="n">
        <v>3.185379</v>
      </c>
      <c r="AW49" s="0" t="n">
        <v>2</v>
      </c>
      <c r="AX49" s="0" t="n">
        <v>2</v>
      </c>
      <c r="AY49" s="0" t="n">
        <v>2</v>
      </c>
      <c r="AZ49" s="0" t="n">
        <v>2</v>
      </c>
      <c r="BA49" s="0" t="n">
        <v>2</v>
      </c>
      <c r="BB49" s="0" t="n">
        <v>2</v>
      </c>
      <c r="BC49" s="0" t="n">
        <v>2</v>
      </c>
      <c r="BD49" s="0" t="n">
        <v>2</v>
      </c>
      <c r="BE49" s="0" t="n">
        <v>2</v>
      </c>
      <c r="BF49" s="0" t="n">
        <v>2</v>
      </c>
      <c r="BG49" s="0" t="n">
        <v>2</v>
      </c>
      <c r="BH49" s="0" t="n">
        <v>2</v>
      </c>
    </row>
    <row r="50" customFormat="false" ht="15" hidden="false" customHeight="false" outlineLevel="0" collapsed="false">
      <c r="A50" s="0" t="n">
        <v>49</v>
      </c>
      <c r="B50" s="0" t="s">
        <v>114</v>
      </c>
      <c r="C50" s="0" t="n">
        <v>2</v>
      </c>
      <c r="D50" s="0" t="n">
        <v>2</v>
      </c>
      <c r="E50" s="0" t="n">
        <v>7.678486</v>
      </c>
      <c r="F50" s="0" t="n">
        <v>2</v>
      </c>
      <c r="G50" s="0" t="n">
        <v>2</v>
      </c>
      <c r="H50" s="0" t="n">
        <v>5.04081</v>
      </c>
      <c r="I50" s="0" t="n">
        <v>8.754325</v>
      </c>
      <c r="J50" s="0" t="n">
        <v>8.783788</v>
      </c>
      <c r="K50" s="0" t="n">
        <v>9.486675</v>
      </c>
      <c r="L50" s="0" t="n">
        <v>9.549344</v>
      </c>
      <c r="M50" s="0" t="n">
        <v>8.20481</v>
      </c>
      <c r="N50" s="0" t="n">
        <v>8.387955</v>
      </c>
      <c r="O50" s="0" t="n">
        <v>10</v>
      </c>
      <c r="P50" s="0" t="n">
        <v>8.612306</v>
      </c>
      <c r="Q50" s="0" t="n">
        <v>8.821045</v>
      </c>
      <c r="R50" s="0" t="n">
        <v>8.090478</v>
      </c>
      <c r="S50" s="0" t="n">
        <v>7.249875</v>
      </c>
      <c r="T50" s="0" t="n">
        <v>7.818385</v>
      </c>
      <c r="U50" s="0" t="n">
        <v>7.560775</v>
      </c>
      <c r="V50" s="0" t="n">
        <v>5.964559</v>
      </c>
      <c r="W50" s="0" t="n">
        <v>6.165883</v>
      </c>
      <c r="X50" s="0" t="n">
        <v>5.35172</v>
      </c>
      <c r="Y50" s="0" t="n">
        <v>6.086259</v>
      </c>
      <c r="Z50" s="0" t="n">
        <v>7.311202</v>
      </c>
      <c r="AA50" s="0" t="n">
        <v>6.689836</v>
      </c>
      <c r="AB50" s="0" t="n">
        <v>8.077798</v>
      </c>
      <c r="AC50" s="0" t="n">
        <v>9.765352</v>
      </c>
      <c r="AD50" s="0" t="n">
        <v>6.361713</v>
      </c>
      <c r="AE50" s="0" t="n">
        <v>7.060688</v>
      </c>
      <c r="AF50" s="0" t="n">
        <v>7.234136</v>
      </c>
      <c r="AG50" s="0" t="n">
        <v>2</v>
      </c>
      <c r="AH50" s="0" t="n">
        <v>3.63339</v>
      </c>
      <c r="AI50" s="0" t="n">
        <v>6.756876</v>
      </c>
      <c r="AJ50" s="0" t="n">
        <v>8.033248</v>
      </c>
      <c r="AK50" s="0" t="n">
        <v>8.674621</v>
      </c>
      <c r="AL50" s="0" t="n">
        <v>6.64185</v>
      </c>
      <c r="AM50" s="0" t="n">
        <v>7.615036</v>
      </c>
      <c r="AN50" s="0" t="n">
        <v>6.879682</v>
      </c>
      <c r="AO50" s="0" t="n">
        <v>5.37751</v>
      </c>
      <c r="AP50" s="0" t="n">
        <v>6.30866</v>
      </c>
      <c r="AQ50" s="0" t="n">
        <v>3.640498</v>
      </c>
      <c r="AR50" s="0" t="n">
        <v>6.137806</v>
      </c>
      <c r="AS50" s="0" t="n">
        <v>6.013562</v>
      </c>
      <c r="AT50" s="0" t="n">
        <v>5.694231</v>
      </c>
      <c r="AU50" s="0" t="n">
        <v>3.185382</v>
      </c>
      <c r="AV50" s="0" t="n">
        <v>3.185379</v>
      </c>
      <c r="AW50" s="0" t="n">
        <v>2</v>
      </c>
      <c r="AX50" s="0" t="n">
        <v>1.629722</v>
      </c>
      <c r="AY50" s="0" t="n">
        <v>2.492167</v>
      </c>
      <c r="AZ50" s="0" t="n">
        <v>2.266842</v>
      </c>
      <c r="BA50" s="0" t="n">
        <v>2</v>
      </c>
      <c r="BB50" s="0" t="n">
        <v>2</v>
      </c>
      <c r="BC50" s="0" t="n">
        <v>2</v>
      </c>
      <c r="BD50" s="0" t="n">
        <v>2</v>
      </c>
      <c r="BE50" s="0" t="n">
        <v>2</v>
      </c>
      <c r="BF50" s="0" t="n">
        <v>2</v>
      </c>
      <c r="BG50" s="0" t="n">
        <v>2</v>
      </c>
      <c r="BH50" s="0" t="n">
        <v>2</v>
      </c>
    </row>
    <row r="51" customFormat="false" ht="15" hidden="false" customHeight="false" outlineLevel="0" collapsed="false">
      <c r="A51" s="0" t="n">
        <v>50</v>
      </c>
      <c r="B51" s="0" t="s">
        <v>78</v>
      </c>
      <c r="C51" s="0" t="n">
        <v>2</v>
      </c>
      <c r="D51" s="0" t="n">
        <v>2</v>
      </c>
      <c r="E51" s="0" t="n">
        <v>7.678486</v>
      </c>
      <c r="F51" s="0" t="n">
        <v>2</v>
      </c>
      <c r="G51" s="0" t="n">
        <v>2</v>
      </c>
      <c r="H51" s="0" t="n">
        <v>2</v>
      </c>
      <c r="I51" s="0" t="n">
        <v>2</v>
      </c>
      <c r="J51" s="0" t="n">
        <v>8.783788</v>
      </c>
      <c r="K51" s="0" t="n">
        <v>2</v>
      </c>
      <c r="L51" s="0" t="n">
        <v>2</v>
      </c>
      <c r="M51" s="0" t="n">
        <v>8.20481</v>
      </c>
      <c r="N51" s="0" t="n">
        <v>8.387955</v>
      </c>
      <c r="O51" s="0" t="n">
        <v>2</v>
      </c>
      <c r="P51" s="0" t="n">
        <v>8.612306</v>
      </c>
      <c r="Q51" s="0" t="n">
        <v>8.821045</v>
      </c>
      <c r="R51" s="0" t="n">
        <v>8.090478</v>
      </c>
      <c r="S51" s="0" t="n">
        <v>7.249875</v>
      </c>
      <c r="T51" s="0" t="n">
        <v>7.818385</v>
      </c>
      <c r="U51" s="0" t="n">
        <v>7.560775</v>
      </c>
      <c r="V51" s="0" t="n">
        <v>5.964559</v>
      </c>
      <c r="W51" s="0" t="n">
        <v>6.165883</v>
      </c>
      <c r="X51" s="0" t="n">
        <v>5.35172</v>
      </c>
      <c r="Y51" s="0" t="n">
        <v>6.086259</v>
      </c>
      <c r="Z51" s="0" t="n">
        <v>7.311202</v>
      </c>
      <c r="AA51" s="0" t="n">
        <v>6.689836</v>
      </c>
      <c r="AB51" s="0" t="n">
        <v>2</v>
      </c>
      <c r="AC51" s="0" t="n">
        <v>2</v>
      </c>
      <c r="AD51" s="0" t="n">
        <v>2</v>
      </c>
      <c r="AE51" s="0" t="n">
        <v>7.060688</v>
      </c>
      <c r="AF51" s="0" t="n">
        <v>7.234136</v>
      </c>
      <c r="AG51" s="0" t="n">
        <v>2</v>
      </c>
      <c r="AH51" s="0" t="n">
        <v>3.63339</v>
      </c>
      <c r="AI51" s="0" t="n">
        <v>6.756876</v>
      </c>
      <c r="AJ51" s="0" t="n">
        <v>8.033248</v>
      </c>
      <c r="AK51" s="0" t="n">
        <v>8.674621</v>
      </c>
      <c r="AL51" s="0" t="n">
        <v>2</v>
      </c>
      <c r="AM51" s="0" t="n">
        <v>7.615036</v>
      </c>
      <c r="AN51" s="0" t="n">
        <v>6.879682</v>
      </c>
      <c r="AO51" s="0" t="n">
        <v>5.37751</v>
      </c>
      <c r="AP51" s="0" t="n">
        <v>6.30866</v>
      </c>
      <c r="AQ51" s="0" t="n">
        <v>2</v>
      </c>
      <c r="AR51" s="0" t="n">
        <v>6.137806</v>
      </c>
      <c r="AS51" s="0" t="n">
        <v>2</v>
      </c>
      <c r="AT51" s="0" t="n">
        <v>5.694231</v>
      </c>
      <c r="AU51" s="0" t="n">
        <v>3.185382</v>
      </c>
      <c r="AV51" s="0" t="n">
        <v>3.185379</v>
      </c>
      <c r="AW51" s="0" t="n">
        <v>2</v>
      </c>
      <c r="AX51" s="0" t="n">
        <v>1.629722</v>
      </c>
      <c r="AY51" s="0" t="n">
        <v>2.492167</v>
      </c>
      <c r="AZ51" s="0" t="n">
        <v>2.266842</v>
      </c>
      <c r="BA51" s="0" t="n">
        <v>2</v>
      </c>
      <c r="BB51" s="0" t="n">
        <v>2</v>
      </c>
      <c r="BC51" s="0" t="n">
        <v>2</v>
      </c>
      <c r="BD51" s="0" t="n">
        <v>2</v>
      </c>
      <c r="BE51" s="0" t="n">
        <v>2</v>
      </c>
      <c r="BF51" s="0" t="n">
        <v>2</v>
      </c>
      <c r="BG51" s="0" t="n">
        <v>2</v>
      </c>
      <c r="BH51" s="0" t="n">
        <v>2</v>
      </c>
    </row>
    <row r="52" customFormat="false" ht="15" hidden="false" customHeight="false" outlineLevel="0" collapsed="false">
      <c r="A52" s="0" t="n">
        <v>51</v>
      </c>
      <c r="B52" s="0" t="s">
        <v>64</v>
      </c>
      <c r="C52" s="0" t="n">
        <v>2</v>
      </c>
      <c r="D52" s="0" t="n">
        <v>2</v>
      </c>
      <c r="E52" s="0" t="n">
        <v>7.678486</v>
      </c>
      <c r="F52" s="0" t="n">
        <v>2</v>
      </c>
      <c r="G52" s="0" t="n">
        <v>2</v>
      </c>
      <c r="H52" s="0" t="n">
        <v>2</v>
      </c>
      <c r="I52" s="0" t="n">
        <v>8.754325</v>
      </c>
      <c r="J52" s="0" t="n">
        <v>2</v>
      </c>
      <c r="K52" s="0" t="n">
        <v>2</v>
      </c>
      <c r="L52" s="0" t="n">
        <v>2</v>
      </c>
      <c r="M52" s="0" t="n">
        <v>2</v>
      </c>
      <c r="N52" s="0" t="n">
        <v>2</v>
      </c>
      <c r="O52" s="0" t="n">
        <v>2</v>
      </c>
      <c r="P52" s="0" t="n">
        <v>8.612306</v>
      </c>
      <c r="Q52" s="0" t="n">
        <v>8.821045</v>
      </c>
      <c r="R52" s="0" t="n">
        <v>8.090478</v>
      </c>
      <c r="S52" s="0" t="n">
        <v>2</v>
      </c>
      <c r="T52" s="0" t="n">
        <v>2</v>
      </c>
      <c r="U52" s="0" t="n">
        <v>7.560775</v>
      </c>
      <c r="V52" s="0" t="n">
        <v>2</v>
      </c>
      <c r="W52" s="0" t="n">
        <v>6.165883</v>
      </c>
      <c r="X52" s="0" t="n">
        <v>2</v>
      </c>
      <c r="Y52" s="0" t="n">
        <v>2</v>
      </c>
      <c r="Z52" s="0" t="n">
        <v>7.311202</v>
      </c>
      <c r="AA52" s="0" t="n">
        <v>6.689836</v>
      </c>
      <c r="AB52" s="0" t="n">
        <v>2</v>
      </c>
      <c r="AC52" s="0" t="n">
        <v>2</v>
      </c>
      <c r="AD52" s="0" t="n">
        <v>2</v>
      </c>
      <c r="AE52" s="0" t="n">
        <v>2</v>
      </c>
      <c r="AF52" s="0" t="n">
        <v>7.234136</v>
      </c>
      <c r="AG52" s="0" t="n">
        <v>2</v>
      </c>
      <c r="AH52" s="0" t="n">
        <v>2</v>
      </c>
      <c r="AI52" s="0" t="n">
        <v>2</v>
      </c>
      <c r="AJ52" s="0" t="n">
        <v>8.033248</v>
      </c>
      <c r="AK52" s="0" t="n">
        <v>8.674621</v>
      </c>
      <c r="AL52" s="0" t="n">
        <v>2</v>
      </c>
      <c r="AM52" s="0" t="n">
        <v>7.615036</v>
      </c>
      <c r="AN52" s="0" t="n">
        <v>6.879682</v>
      </c>
      <c r="AO52" s="0" t="n">
        <v>5.37751</v>
      </c>
      <c r="AP52" s="0" t="n">
        <v>2</v>
      </c>
      <c r="AQ52" s="0" t="n">
        <v>2</v>
      </c>
      <c r="AR52" s="0" t="n">
        <v>6.137806</v>
      </c>
      <c r="AS52" s="0" t="n">
        <v>2</v>
      </c>
      <c r="AT52" s="0" t="n">
        <v>2</v>
      </c>
      <c r="AU52" s="0" t="n">
        <v>3.185382</v>
      </c>
      <c r="AV52" s="0" t="n">
        <v>3.185379</v>
      </c>
      <c r="AW52" s="0" t="n">
        <v>2</v>
      </c>
      <c r="AX52" s="0" t="n">
        <v>1.629722</v>
      </c>
      <c r="AY52" s="0" t="n">
        <v>2.492167</v>
      </c>
      <c r="AZ52" s="0" t="n">
        <v>2.266842</v>
      </c>
      <c r="BA52" s="0" t="n">
        <v>1.784189</v>
      </c>
      <c r="BB52" s="0" t="n">
        <v>2</v>
      </c>
      <c r="BC52" s="0" t="n">
        <v>2</v>
      </c>
      <c r="BD52" s="0" t="n">
        <v>2</v>
      </c>
      <c r="BE52" s="0" t="n">
        <v>2</v>
      </c>
      <c r="BF52" s="0" t="n">
        <v>2</v>
      </c>
      <c r="BG52" s="0" t="n">
        <v>2</v>
      </c>
      <c r="BH52" s="0" t="n">
        <v>2</v>
      </c>
    </row>
    <row r="53" customFormat="false" ht="15" hidden="false" customHeight="false" outlineLevel="0" collapsed="false">
      <c r="A53" s="0" t="n">
        <v>52</v>
      </c>
      <c r="B53" s="0" t="s">
        <v>38</v>
      </c>
      <c r="C53" s="0" t="n">
        <v>2</v>
      </c>
      <c r="D53" s="0" t="n">
        <v>2</v>
      </c>
      <c r="E53" s="0" t="n">
        <v>7.678486</v>
      </c>
      <c r="F53" s="0" t="n">
        <v>2</v>
      </c>
      <c r="G53" s="0" t="n">
        <v>2</v>
      </c>
      <c r="H53" s="0" t="n">
        <v>5.04081</v>
      </c>
      <c r="I53" s="0" t="n">
        <v>2</v>
      </c>
      <c r="J53" s="0" t="n">
        <v>8.783788</v>
      </c>
      <c r="K53" s="0" t="n">
        <v>2</v>
      </c>
      <c r="L53" s="0" t="n">
        <v>2</v>
      </c>
      <c r="M53" s="0" t="n">
        <v>2</v>
      </c>
      <c r="N53" s="0" t="n">
        <v>2</v>
      </c>
      <c r="O53" s="0" t="n">
        <v>2</v>
      </c>
      <c r="P53" s="0" t="n">
        <v>8.612306</v>
      </c>
      <c r="Q53" s="0" t="n">
        <v>8.821045</v>
      </c>
      <c r="R53" s="0" t="n">
        <v>8.090478</v>
      </c>
      <c r="S53" s="0" t="n">
        <v>7.249875</v>
      </c>
      <c r="T53" s="0" t="n">
        <v>7.818385</v>
      </c>
      <c r="U53" s="0" t="n">
        <v>7.560775</v>
      </c>
      <c r="V53" s="0" t="n">
        <v>5.964559</v>
      </c>
      <c r="W53" s="0" t="n">
        <v>6.165883</v>
      </c>
      <c r="X53" s="0" t="n">
        <v>5.35172</v>
      </c>
      <c r="Y53" s="0" t="n">
        <v>6.086259</v>
      </c>
      <c r="Z53" s="0" t="n">
        <v>7.311202</v>
      </c>
      <c r="AA53" s="0" t="n">
        <v>6.689836</v>
      </c>
      <c r="AB53" s="0" t="n">
        <v>8.077798</v>
      </c>
      <c r="AC53" s="0" t="n">
        <v>2</v>
      </c>
      <c r="AD53" s="0" t="n">
        <v>2</v>
      </c>
      <c r="AE53" s="0" t="n">
        <v>2</v>
      </c>
      <c r="AF53" s="0" t="n">
        <v>7.234136</v>
      </c>
      <c r="AG53" s="0" t="n">
        <v>5.590635</v>
      </c>
      <c r="AH53" s="0" t="n">
        <v>3.63339</v>
      </c>
      <c r="AI53" s="0" t="n">
        <v>6.756876</v>
      </c>
      <c r="AJ53" s="0" t="n">
        <v>8.033248</v>
      </c>
      <c r="AK53" s="0" t="n">
        <v>8.674621</v>
      </c>
      <c r="AL53" s="0" t="n">
        <v>2</v>
      </c>
      <c r="AM53" s="0" t="n">
        <v>7.615036</v>
      </c>
      <c r="AN53" s="0" t="n">
        <v>6.879682</v>
      </c>
      <c r="AO53" s="0" t="n">
        <v>5.37751</v>
      </c>
      <c r="AP53" s="0" t="n">
        <v>6.30866</v>
      </c>
      <c r="AQ53" s="0" t="n">
        <v>2</v>
      </c>
      <c r="AR53" s="0" t="n">
        <v>2</v>
      </c>
      <c r="AS53" s="0" t="n">
        <v>2</v>
      </c>
      <c r="AT53" s="0" t="n">
        <v>2</v>
      </c>
      <c r="AU53" s="0" t="n">
        <v>2</v>
      </c>
      <c r="AV53" s="0" t="n">
        <v>2</v>
      </c>
      <c r="AW53" s="0" t="n">
        <v>2</v>
      </c>
      <c r="AX53" s="0" t="n">
        <v>1.629722</v>
      </c>
      <c r="AY53" s="0" t="n">
        <v>2</v>
      </c>
      <c r="AZ53" s="0" t="n">
        <v>2</v>
      </c>
      <c r="BA53" s="0" t="n">
        <v>2</v>
      </c>
      <c r="BB53" s="0" t="n">
        <v>4.884708</v>
      </c>
      <c r="BC53" s="0" t="n">
        <v>2</v>
      </c>
      <c r="BD53" s="0" t="n">
        <v>2.315689</v>
      </c>
      <c r="BE53" s="0" t="n">
        <v>3.740332</v>
      </c>
      <c r="BF53" s="0" t="n">
        <v>5.92267</v>
      </c>
      <c r="BG53" s="0" t="n">
        <v>2</v>
      </c>
      <c r="BH53" s="0" t="n">
        <v>2</v>
      </c>
    </row>
    <row r="54" customFormat="false" ht="15" hidden="false" customHeight="false" outlineLevel="0" collapsed="false">
      <c r="A54" s="0" t="n">
        <v>53</v>
      </c>
      <c r="B54" s="0" t="s">
        <v>46</v>
      </c>
      <c r="C54" s="0" t="n">
        <v>2</v>
      </c>
      <c r="D54" s="0" t="n">
        <v>2</v>
      </c>
      <c r="E54" s="0" t="n">
        <v>2</v>
      </c>
      <c r="F54" s="0" t="n">
        <v>2</v>
      </c>
      <c r="G54" s="0" t="n">
        <v>2</v>
      </c>
      <c r="H54" s="0" t="n">
        <v>5.04081</v>
      </c>
      <c r="I54" s="0" t="n">
        <v>2</v>
      </c>
      <c r="J54" s="0" t="n">
        <v>8.783788</v>
      </c>
      <c r="K54" s="0" t="n">
        <v>2</v>
      </c>
      <c r="L54" s="0" t="n">
        <v>2</v>
      </c>
      <c r="M54" s="0" t="n">
        <v>2</v>
      </c>
      <c r="N54" s="0" t="n">
        <v>2</v>
      </c>
      <c r="O54" s="0" t="n">
        <v>2</v>
      </c>
      <c r="P54" s="0" t="n">
        <v>8.612306</v>
      </c>
      <c r="Q54" s="0" t="n">
        <v>8.821045</v>
      </c>
      <c r="R54" s="0" t="n">
        <v>8.090478</v>
      </c>
      <c r="S54" s="0" t="n">
        <v>7.249875</v>
      </c>
      <c r="T54" s="0" t="n">
        <v>7.818385</v>
      </c>
      <c r="U54" s="0" t="n">
        <v>7.560775</v>
      </c>
      <c r="V54" s="0" t="n">
        <v>2</v>
      </c>
      <c r="W54" s="0" t="n">
        <v>6.165883</v>
      </c>
      <c r="X54" s="0" t="n">
        <v>2</v>
      </c>
      <c r="Y54" s="0" t="n">
        <v>6.086259</v>
      </c>
      <c r="Z54" s="0" t="n">
        <v>7.311202</v>
      </c>
      <c r="AA54" s="0" t="n">
        <v>6.689836</v>
      </c>
      <c r="AB54" s="0" t="n">
        <v>2</v>
      </c>
      <c r="AC54" s="0" t="n">
        <v>2</v>
      </c>
      <c r="AD54" s="0" t="n">
        <v>2</v>
      </c>
      <c r="AE54" s="0" t="n">
        <v>2</v>
      </c>
      <c r="AF54" s="0" t="n">
        <v>7.234136</v>
      </c>
      <c r="AG54" s="0" t="n">
        <v>5.590635</v>
      </c>
      <c r="AH54" s="0" t="n">
        <v>2</v>
      </c>
      <c r="AI54" s="0" t="n">
        <v>6.756876</v>
      </c>
      <c r="AJ54" s="0" t="n">
        <v>8.033248</v>
      </c>
      <c r="AK54" s="0" t="n">
        <v>8.674621</v>
      </c>
      <c r="AL54" s="0" t="n">
        <v>2</v>
      </c>
      <c r="AM54" s="0" t="n">
        <v>7.615036</v>
      </c>
      <c r="AN54" s="0" t="n">
        <v>6.879682</v>
      </c>
      <c r="AO54" s="0" t="n">
        <v>5.37751</v>
      </c>
      <c r="AP54" s="0" t="n">
        <v>6.30866</v>
      </c>
      <c r="AQ54" s="0" t="n">
        <v>2</v>
      </c>
      <c r="AR54" s="0" t="n">
        <v>2</v>
      </c>
      <c r="AS54" s="0" t="n">
        <v>2</v>
      </c>
      <c r="AT54" s="0" t="n">
        <v>2</v>
      </c>
      <c r="AU54" s="0" t="n">
        <v>2</v>
      </c>
      <c r="AV54" s="0" t="n">
        <v>2</v>
      </c>
      <c r="AW54" s="0" t="n">
        <v>2</v>
      </c>
      <c r="AX54" s="0" t="n">
        <v>1.629722</v>
      </c>
      <c r="AY54" s="0" t="n">
        <v>2</v>
      </c>
      <c r="AZ54" s="0" t="n">
        <v>2</v>
      </c>
      <c r="BA54" s="0" t="n">
        <v>2</v>
      </c>
      <c r="BB54" s="0" t="n">
        <v>4.884708</v>
      </c>
      <c r="BC54" s="0" t="n">
        <v>2</v>
      </c>
      <c r="BD54" s="0" t="n">
        <v>2.315689</v>
      </c>
      <c r="BE54" s="0" t="n">
        <v>3.740332</v>
      </c>
      <c r="BF54" s="0" t="n">
        <v>5.92267</v>
      </c>
      <c r="BG54" s="0" t="n">
        <v>2</v>
      </c>
      <c r="BH54" s="0" t="n">
        <v>2</v>
      </c>
    </row>
    <row r="55" customFormat="false" ht="15" hidden="false" customHeight="false" outlineLevel="0" collapsed="false">
      <c r="A55" s="0" t="n">
        <v>54</v>
      </c>
      <c r="B55" s="0" t="s">
        <v>51</v>
      </c>
      <c r="C55" s="0" t="n">
        <v>2</v>
      </c>
      <c r="D55" s="0" t="n">
        <v>2</v>
      </c>
      <c r="E55" s="0" t="n">
        <v>2</v>
      </c>
      <c r="F55" s="0" t="n">
        <v>2</v>
      </c>
      <c r="G55" s="0" t="n">
        <v>2</v>
      </c>
      <c r="H55" s="0" t="n">
        <v>5.04081</v>
      </c>
      <c r="I55" s="0" t="n">
        <v>2</v>
      </c>
      <c r="J55" s="0" t="n">
        <v>8.783788</v>
      </c>
      <c r="K55" s="0" t="n">
        <v>9.486675</v>
      </c>
      <c r="L55" s="0" t="n">
        <v>2</v>
      </c>
      <c r="M55" s="0" t="n">
        <v>2</v>
      </c>
      <c r="N55" s="0" t="n">
        <v>2</v>
      </c>
      <c r="O55" s="0" t="n">
        <v>2</v>
      </c>
      <c r="P55" s="0" t="n">
        <v>8.612306</v>
      </c>
      <c r="Q55" s="0" t="n">
        <v>8.821045</v>
      </c>
      <c r="R55" s="0" t="n">
        <v>8.090478</v>
      </c>
      <c r="S55" s="0" t="n">
        <v>7.249875</v>
      </c>
      <c r="T55" s="0" t="n">
        <v>7.818385</v>
      </c>
      <c r="U55" s="0" t="n">
        <v>7.560775</v>
      </c>
      <c r="V55" s="0" t="n">
        <v>5.964559</v>
      </c>
      <c r="W55" s="0" t="n">
        <v>6.165883</v>
      </c>
      <c r="X55" s="0" t="n">
        <v>5.35172</v>
      </c>
      <c r="Y55" s="0" t="n">
        <v>6.086259</v>
      </c>
      <c r="Z55" s="0" t="n">
        <v>7.311202</v>
      </c>
      <c r="AA55" s="0" t="n">
        <v>6.689836</v>
      </c>
      <c r="AB55" s="0" t="n">
        <v>8.077798</v>
      </c>
      <c r="AC55" s="0" t="n">
        <v>9.765352</v>
      </c>
      <c r="AD55" s="0" t="n">
        <v>2</v>
      </c>
      <c r="AE55" s="0" t="n">
        <v>2</v>
      </c>
      <c r="AF55" s="0" t="n">
        <v>7.234136</v>
      </c>
      <c r="AG55" s="0" t="n">
        <v>5.590635</v>
      </c>
      <c r="AH55" s="0" t="n">
        <v>2</v>
      </c>
      <c r="AI55" s="0" t="n">
        <v>6.756876</v>
      </c>
      <c r="AJ55" s="0" t="n">
        <v>8.033248</v>
      </c>
      <c r="AK55" s="0" t="n">
        <v>2</v>
      </c>
      <c r="AL55" s="0" t="n">
        <v>2</v>
      </c>
      <c r="AM55" s="0" t="n">
        <v>7.615036</v>
      </c>
      <c r="AN55" s="0" t="n">
        <v>6.879682</v>
      </c>
      <c r="AO55" s="0" t="n">
        <v>5.37751</v>
      </c>
      <c r="AP55" s="0" t="n">
        <v>6.30866</v>
      </c>
      <c r="AQ55" s="0" t="n">
        <v>3.640498</v>
      </c>
      <c r="AR55" s="0" t="n">
        <v>2</v>
      </c>
      <c r="AS55" s="0" t="n">
        <v>2</v>
      </c>
      <c r="AT55" s="0" t="n">
        <v>2</v>
      </c>
      <c r="AU55" s="0" t="n">
        <v>2</v>
      </c>
      <c r="AV55" s="0" t="n">
        <v>2</v>
      </c>
      <c r="AW55" s="0" t="n">
        <v>2</v>
      </c>
      <c r="AX55" s="0" t="n">
        <v>1.629722</v>
      </c>
      <c r="AY55" s="0" t="n">
        <v>2</v>
      </c>
      <c r="AZ55" s="0" t="n">
        <v>2</v>
      </c>
      <c r="BA55" s="0" t="n">
        <v>2</v>
      </c>
      <c r="BB55" s="0" t="n">
        <v>4.884708</v>
      </c>
      <c r="BC55" s="0" t="n">
        <v>1.612385</v>
      </c>
      <c r="BD55" s="0" t="n">
        <v>2.315689</v>
      </c>
      <c r="BE55" s="0" t="n">
        <v>3.740332</v>
      </c>
      <c r="BF55" s="0" t="n">
        <v>5.92267</v>
      </c>
      <c r="BG55" s="0" t="n">
        <v>2</v>
      </c>
      <c r="BH55" s="0" t="n">
        <v>2</v>
      </c>
    </row>
    <row r="56" customFormat="false" ht="15" hidden="false" customHeight="false" outlineLevel="0" collapsed="false">
      <c r="A56" s="0" t="n">
        <v>55</v>
      </c>
      <c r="B56" s="0" t="s">
        <v>47</v>
      </c>
      <c r="C56" s="0" t="n">
        <v>2</v>
      </c>
      <c r="D56" s="0" t="n">
        <v>2</v>
      </c>
      <c r="E56" s="0" t="n">
        <v>7.678486</v>
      </c>
      <c r="F56" s="0" t="n">
        <v>2</v>
      </c>
      <c r="G56" s="0" t="n">
        <v>2</v>
      </c>
      <c r="H56" s="0" t="n">
        <v>5.04081</v>
      </c>
      <c r="I56" s="0" t="n">
        <v>2</v>
      </c>
      <c r="J56" s="0" t="n">
        <v>8.783788</v>
      </c>
      <c r="K56" s="0" t="n">
        <v>9.486675</v>
      </c>
      <c r="L56" s="0" t="n">
        <v>2</v>
      </c>
      <c r="M56" s="0" t="n">
        <v>2</v>
      </c>
      <c r="N56" s="0" t="n">
        <v>2</v>
      </c>
      <c r="O56" s="0" t="n">
        <v>2</v>
      </c>
      <c r="P56" s="0" t="n">
        <v>8.612306</v>
      </c>
      <c r="Q56" s="0" t="n">
        <v>8.821045</v>
      </c>
      <c r="R56" s="0" t="n">
        <v>8.090478</v>
      </c>
      <c r="S56" s="0" t="n">
        <v>7.249875</v>
      </c>
      <c r="T56" s="0" t="n">
        <v>7.818385</v>
      </c>
      <c r="U56" s="0" t="n">
        <v>7.560775</v>
      </c>
      <c r="V56" s="0" t="n">
        <v>5.964559</v>
      </c>
      <c r="W56" s="0" t="n">
        <v>6.165883</v>
      </c>
      <c r="X56" s="0" t="n">
        <v>5.35172</v>
      </c>
      <c r="Y56" s="0" t="n">
        <v>6.086259</v>
      </c>
      <c r="Z56" s="0" t="n">
        <v>7.311202</v>
      </c>
      <c r="AA56" s="0" t="n">
        <v>6.689836</v>
      </c>
      <c r="AB56" s="0" t="n">
        <v>2</v>
      </c>
      <c r="AC56" s="0" t="n">
        <v>2</v>
      </c>
      <c r="AD56" s="0" t="n">
        <v>6.361713</v>
      </c>
      <c r="AE56" s="0" t="n">
        <v>7.060688</v>
      </c>
      <c r="AF56" s="0" t="n">
        <v>7.234136</v>
      </c>
      <c r="AG56" s="0" t="n">
        <v>5.590635</v>
      </c>
      <c r="AH56" s="0" t="n">
        <v>3.63339</v>
      </c>
      <c r="AI56" s="0" t="n">
        <v>2</v>
      </c>
      <c r="AJ56" s="0" t="n">
        <v>8.033248</v>
      </c>
      <c r="AK56" s="0" t="n">
        <v>8.674621</v>
      </c>
      <c r="AL56" s="0" t="n">
        <v>2</v>
      </c>
      <c r="AM56" s="0" t="n">
        <v>7.615036</v>
      </c>
      <c r="AN56" s="0" t="n">
        <v>6.879682</v>
      </c>
      <c r="AO56" s="0" t="n">
        <v>5.37751</v>
      </c>
      <c r="AP56" s="0" t="n">
        <v>2</v>
      </c>
      <c r="AQ56" s="0" t="n">
        <v>2</v>
      </c>
      <c r="AR56" s="0" t="n">
        <v>2</v>
      </c>
      <c r="AS56" s="0" t="n">
        <v>2</v>
      </c>
      <c r="AT56" s="0" t="n">
        <v>2</v>
      </c>
      <c r="AU56" s="0" t="n">
        <v>2</v>
      </c>
      <c r="AV56" s="0" t="n">
        <v>2</v>
      </c>
      <c r="AW56" s="0" t="n">
        <v>2</v>
      </c>
      <c r="AX56" s="0" t="n">
        <v>1.629722</v>
      </c>
      <c r="AY56" s="0" t="n">
        <v>2</v>
      </c>
      <c r="AZ56" s="0" t="n">
        <v>2</v>
      </c>
      <c r="BA56" s="0" t="n">
        <v>2</v>
      </c>
      <c r="BB56" s="0" t="n">
        <v>4.884708</v>
      </c>
      <c r="BC56" s="0" t="n">
        <v>2</v>
      </c>
      <c r="BD56" s="0" t="n">
        <v>2</v>
      </c>
      <c r="BE56" s="0" t="n">
        <v>3.740332</v>
      </c>
      <c r="BF56" s="0" t="n">
        <v>2</v>
      </c>
      <c r="BG56" s="0" t="n">
        <v>2</v>
      </c>
      <c r="BH56" s="0" t="n">
        <v>2</v>
      </c>
    </row>
    <row r="57" customFormat="false" ht="15" hidden="false" customHeight="false" outlineLevel="0" collapsed="false">
      <c r="A57" s="0" t="n">
        <v>56</v>
      </c>
      <c r="B57" s="0" t="s">
        <v>48</v>
      </c>
      <c r="C57" s="0" t="n">
        <v>2</v>
      </c>
      <c r="D57" s="0" t="n">
        <v>2</v>
      </c>
      <c r="E57" s="0" t="n">
        <v>2</v>
      </c>
      <c r="F57" s="0" t="n">
        <v>2</v>
      </c>
      <c r="G57" s="0" t="n">
        <v>2</v>
      </c>
      <c r="H57" s="0" t="n">
        <v>2</v>
      </c>
      <c r="I57" s="0" t="n">
        <v>2</v>
      </c>
      <c r="J57" s="0" t="n">
        <v>2</v>
      </c>
      <c r="K57" s="0" t="n">
        <v>2</v>
      </c>
      <c r="L57" s="0" t="n">
        <v>2</v>
      </c>
      <c r="M57" s="0" t="n">
        <v>2</v>
      </c>
      <c r="N57" s="0" t="n">
        <v>2</v>
      </c>
      <c r="O57" s="0" t="n">
        <v>2</v>
      </c>
      <c r="P57" s="0" t="n">
        <v>2</v>
      </c>
      <c r="Q57" s="0" t="n">
        <v>2</v>
      </c>
      <c r="R57" s="0" t="n">
        <v>2</v>
      </c>
      <c r="S57" s="0" t="n">
        <v>2</v>
      </c>
      <c r="T57" s="0" t="n">
        <v>2</v>
      </c>
      <c r="U57" s="0" t="n">
        <v>2</v>
      </c>
      <c r="V57" s="0" t="n">
        <v>2</v>
      </c>
      <c r="W57" s="0" t="n">
        <v>2</v>
      </c>
      <c r="X57" s="0" t="n">
        <v>5.35172</v>
      </c>
      <c r="Y57" s="0" t="n">
        <v>6.086259</v>
      </c>
      <c r="Z57" s="0" t="n">
        <v>7.311202</v>
      </c>
      <c r="AA57" s="0" t="n">
        <v>2</v>
      </c>
      <c r="AB57" s="0" t="n">
        <v>2</v>
      </c>
      <c r="AC57" s="0" t="n">
        <v>2</v>
      </c>
      <c r="AD57" s="0" t="n">
        <v>2</v>
      </c>
      <c r="AE57" s="0" t="n">
        <v>2</v>
      </c>
      <c r="AF57" s="0" t="n">
        <v>7.234136</v>
      </c>
      <c r="AG57" s="0" t="n">
        <v>2</v>
      </c>
      <c r="AH57" s="0" t="n">
        <v>2</v>
      </c>
      <c r="AI57" s="0" t="n">
        <v>2</v>
      </c>
      <c r="AJ57" s="0" t="n">
        <v>2</v>
      </c>
      <c r="AK57" s="0" t="n">
        <v>2</v>
      </c>
      <c r="AL57" s="0" t="n">
        <v>2</v>
      </c>
      <c r="AM57" s="0" t="n">
        <v>2</v>
      </c>
      <c r="AN57" s="0" t="n">
        <v>2</v>
      </c>
      <c r="AO57" s="0" t="n">
        <v>5.37751</v>
      </c>
      <c r="AP57" s="0" t="n">
        <v>2</v>
      </c>
      <c r="AQ57" s="0" t="n">
        <v>2</v>
      </c>
      <c r="AR57" s="0" t="n">
        <v>2</v>
      </c>
      <c r="AS57" s="0" t="n">
        <v>2</v>
      </c>
      <c r="AT57" s="0" t="n">
        <v>2</v>
      </c>
      <c r="AU57" s="0" t="n">
        <v>2</v>
      </c>
      <c r="AV57" s="0" t="n">
        <v>2</v>
      </c>
      <c r="AW57" s="0" t="n">
        <v>2</v>
      </c>
      <c r="AX57" s="0" t="n">
        <v>2</v>
      </c>
      <c r="AY57" s="0" t="n">
        <v>2</v>
      </c>
      <c r="AZ57" s="0" t="n">
        <v>2</v>
      </c>
      <c r="BA57" s="0" t="n">
        <v>2</v>
      </c>
      <c r="BB57" s="0" t="n">
        <v>2</v>
      </c>
      <c r="BC57" s="0" t="n">
        <v>2</v>
      </c>
      <c r="BD57" s="0" t="n">
        <v>2</v>
      </c>
      <c r="BE57" s="0" t="n">
        <v>2</v>
      </c>
      <c r="BF57" s="0" t="n">
        <v>2</v>
      </c>
      <c r="BG57" s="0" t="n">
        <v>2</v>
      </c>
      <c r="BH57" s="0" t="n">
        <v>2</v>
      </c>
    </row>
    <row r="58" customFormat="false" ht="15" hidden="false" customHeight="false" outlineLevel="0" collapsed="false">
      <c r="A58" s="0" t="n">
        <v>57</v>
      </c>
      <c r="B58" s="0" t="s">
        <v>50</v>
      </c>
      <c r="C58" s="0" t="n">
        <v>2</v>
      </c>
      <c r="D58" s="0" t="n">
        <v>2</v>
      </c>
      <c r="E58" s="0" t="n">
        <v>2</v>
      </c>
      <c r="F58" s="0" t="n">
        <v>2</v>
      </c>
      <c r="G58" s="0" t="n">
        <v>2</v>
      </c>
      <c r="H58" s="0" t="n">
        <v>2</v>
      </c>
      <c r="I58" s="0" t="n">
        <v>2</v>
      </c>
      <c r="J58" s="0" t="n">
        <v>2</v>
      </c>
      <c r="K58" s="0" t="n">
        <v>2</v>
      </c>
      <c r="L58" s="0" t="n">
        <v>2</v>
      </c>
      <c r="M58" s="0" t="n">
        <v>2</v>
      </c>
      <c r="N58" s="0" t="n">
        <v>2</v>
      </c>
      <c r="O58" s="0" t="n">
        <v>2</v>
      </c>
      <c r="P58" s="0" t="n">
        <v>2</v>
      </c>
      <c r="Q58" s="0" t="n">
        <v>2</v>
      </c>
      <c r="R58" s="0" t="n">
        <v>2</v>
      </c>
      <c r="S58" s="0" t="n">
        <v>2</v>
      </c>
      <c r="T58" s="0" t="n">
        <v>7.818385</v>
      </c>
      <c r="U58" s="0" t="n">
        <v>2</v>
      </c>
      <c r="V58" s="0" t="n">
        <v>5.964559</v>
      </c>
      <c r="W58" s="0" t="n">
        <v>6.165883</v>
      </c>
      <c r="X58" s="0" t="n">
        <v>5.35172</v>
      </c>
      <c r="Y58" s="0" t="n">
        <v>2</v>
      </c>
      <c r="Z58" s="0" t="n">
        <v>7.311202</v>
      </c>
      <c r="AA58" s="0" t="n">
        <v>2</v>
      </c>
      <c r="AB58" s="0" t="n">
        <v>2</v>
      </c>
      <c r="AC58" s="0" t="n">
        <v>2</v>
      </c>
      <c r="AD58" s="0" t="n">
        <v>2</v>
      </c>
      <c r="AE58" s="0" t="n">
        <v>7.060688</v>
      </c>
      <c r="AF58" s="0" t="n">
        <v>2</v>
      </c>
      <c r="AG58" s="0" t="n">
        <v>2</v>
      </c>
      <c r="AH58" s="0" t="n">
        <v>2</v>
      </c>
      <c r="AI58" s="0" t="n">
        <v>6.756876</v>
      </c>
      <c r="AJ58" s="0" t="n">
        <v>2</v>
      </c>
      <c r="AK58" s="0" t="n">
        <v>2</v>
      </c>
      <c r="AL58" s="0" t="n">
        <v>2</v>
      </c>
      <c r="AM58" s="0" t="n">
        <v>7.615036</v>
      </c>
      <c r="AN58" s="0" t="n">
        <v>6.879682</v>
      </c>
      <c r="AO58" s="0" t="n">
        <v>5.37751</v>
      </c>
      <c r="AP58" s="0" t="n">
        <v>2</v>
      </c>
      <c r="AQ58" s="0" t="n">
        <v>3.640498</v>
      </c>
      <c r="AR58" s="0" t="n">
        <v>2</v>
      </c>
      <c r="AS58" s="0" t="n">
        <v>2</v>
      </c>
      <c r="AT58" s="0" t="n">
        <v>2</v>
      </c>
      <c r="AU58" s="0" t="n">
        <v>3.185382</v>
      </c>
      <c r="AV58" s="0" t="n">
        <v>3.185379</v>
      </c>
      <c r="AW58" s="0" t="n">
        <v>1.568401</v>
      </c>
      <c r="AX58" s="0" t="n">
        <v>1.629722</v>
      </c>
      <c r="AY58" s="0" t="n">
        <v>2.492167</v>
      </c>
      <c r="AZ58" s="0" t="n">
        <v>2.266842</v>
      </c>
      <c r="BA58" s="0" t="n">
        <v>1.784189</v>
      </c>
      <c r="BB58" s="0" t="n">
        <v>4.884708</v>
      </c>
      <c r="BC58" s="0" t="n">
        <v>1.612385</v>
      </c>
      <c r="BD58" s="0" t="n">
        <v>2.315689</v>
      </c>
      <c r="BE58" s="0" t="n">
        <v>3.740332</v>
      </c>
      <c r="BF58" s="0" t="n">
        <v>5.92267</v>
      </c>
      <c r="BG58" s="0" t="n">
        <v>2</v>
      </c>
      <c r="BH58" s="0" t="n">
        <v>2</v>
      </c>
    </row>
    <row r="59" customFormat="false" ht="15" hidden="false" customHeight="false" outlineLevel="0" collapsed="false">
      <c r="A59" s="0" t="n">
        <v>58</v>
      </c>
      <c r="B59" s="0" t="s">
        <v>61</v>
      </c>
      <c r="C59" s="0" t="n">
        <v>2</v>
      </c>
      <c r="D59" s="0" t="n">
        <v>2</v>
      </c>
      <c r="E59" s="0" t="n">
        <v>2</v>
      </c>
      <c r="F59" s="0" t="n">
        <v>2</v>
      </c>
      <c r="G59" s="0" t="n">
        <v>2</v>
      </c>
      <c r="H59" s="0" t="n">
        <v>2</v>
      </c>
      <c r="I59" s="0" t="n">
        <v>2</v>
      </c>
      <c r="J59" s="0" t="n">
        <v>2</v>
      </c>
      <c r="K59" s="0" t="n">
        <v>9.486675</v>
      </c>
      <c r="L59" s="0" t="n">
        <v>9.549344</v>
      </c>
      <c r="M59" s="0" t="n">
        <v>2</v>
      </c>
      <c r="N59" s="0" t="n">
        <v>2</v>
      </c>
      <c r="O59" s="0" t="n">
        <v>2</v>
      </c>
      <c r="P59" s="0" t="n">
        <v>2</v>
      </c>
      <c r="Q59" s="0" t="n">
        <v>2</v>
      </c>
      <c r="R59" s="0" t="n">
        <v>2</v>
      </c>
      <c r="S59" s="0" t="n">
        <v>7.249875</v>
      </c>
      <c r="T59" s="0" t="n">
        <v>7.818385</v>
      </c>
      <c r="U59" s="0" t="n">
        <v>7.560775</v>
      </c>
      <c r="V59" s="0" t="n">
        <v>5.964559</v>
      </c>
      <c r="W59" s="0" t="n">
        <v>6.165883</v>
      </c>
      <c r="X59" s="0" t="n">
        <v>5.35172</v>
      </c>
      <c r="Y59" s="0" t="n">
        <v>6.086259</v>
      </c>
      <c r="Z59" s="0" t="n">
        <v>7.311202</v>
      </c>
      <c r="AA59" s="0" t="n">
        <v>6.689836</v>
      </c>
      <c r="AB59" s="0" t="n">
        <v>2</v>
      </c>
      <c r="AC59" s="0" t="n">
        <v>2</v>
      </c>
      <c r="AD59" s="0" t="n">
        <v>2</v>
      </c>
      <c r="AE59" s="0" t="n">
        <v>2</v>
      </c>
      <c r="AF59" s="0" t="n">
        <v>7.234136</v>
      </c>
      <c r="AG59" s="0" t="n">
        <v>2</v>
      </c>
      <c r="AH59" s="0" t="n">
        <v>2</v>
      </c>
      <c r="AI59" s="0" t="n">
        <v>6.756876</v>
      </c>
      <c r="AJ59" s="0" t="n">
        <v>2</v>
      </c>
      <c r="AK59" s="0" t="n">
        <v>2</v>
      </c>
      <c r="AL59" s="0" t="n">
        <v>2</v>
      </c>
      <c r="AM59" s="0" t="n">
        <v>2</v>
      </c>
      <c r="AN59" s="0" t="n">
        <v>6.879682</v>
      </c>
      <c r="AO59" s="0" t="n">
        <v>5.37751</v>
      </c>
      <c r="AP59" s="0" t="n">
        <v>2</v>
      </c>
      <c r="AQ59" s="0" t="n">
        <v>2</v>
      </c>
      <c r="AR59" s="0" t="n">
        <v>2</v>
      </c>
      <c r="AS59" s="0" t="n">
        <v>2</v>
      </c>
      <c r="AT59" s="0" t="n">
        <v>2</v>
      </c>
      <c r="AU59" s="0" t="n">
        <v>2</v>
      </c>
      <c r="AV59" s="0" t="n">
        <v>2</v>
      </c>
      <c r="AW59" s="0" t="n">
        <v>2</v>
      </c>
      <c r="AX59" s="0" t="n">
        <v>2</v>
      </c>
      <c r="AY59" s="0" t="n">
        <v>2</v>
      </c>
      <c r="AZ59" s="0" t="n">
        <v>2</v>
      </c>
      <c r="BA59" s="0" t="n">
        <v>2</v>
      </c>
      <c r="BB59" s="0" t="n">
        <v>2</v>
      </c>
      <c r="BC59" s="0" t="n">
        <v>2</v>
      </c>
      <c r="BD59" s="0" t="n">
        <v>2</v>
      </c>
      <c r="BE59" s="0" t="n">
        <v>2</v>
      </c>
      <c r="BF59" s="0" t="n">
        <v>2</v>
      </c>
      <c r="BG59" s="0" t="n">
        <v>2</v>
      </c>
      <c r="BH59" s="0" t="n">
        <v>2</v>
      </c>
    </row>
    <row r="60" customFormat="false" ht="15" hidden="false" customHeight="false" outlineLevel="0" collapsed="false">
      <c r="A60" s="0" t="n">
        <v>59</v>
      </c>
      <c r="B60" s="0" t="s">
        <v>69</v>
      </c>
      <c r="C60" s="0" t="n">
        <v>2</v>
      </c>
      <c r="D60" s="0" t="n">
        <v>2</v>
      </c>
      <c r="E60" s="0" t="n">
        <v>7.678486</v>
      </c>
      <c r="F60" s="0" t="n">
        <v>2</v>
      </c>
      <c r="G60" s="0" t="n">
        <v>2</v>
      </c>
      <c r="H60" s="0" t="n">
        <v>2</v>
      </c>
      <c r="I60" s="0" t="n">
        <v>8.754325</v>
      </c>
      <c r="J60" s="0" t="n">
        <v>2</v>
      </c>
      <c r="K60" s="0" t="n">
        <v>2</v>
      </c>
      <c r="L60" s="0" t="n">
        <v>2</v>
      </c>
      <c r="M60" s="0" t="n">
        <v>8.20481</v>
      </c>
      <c r="N60" s="0" t="n">
        <v>8.387955</v>
      </c>
      <c r="O60" s="0" t="n">
        <v>2</v>
      </c>
      <c r="P60" s="0" t="n">
        <v>2</v>
      </c>
      <c r="Q60" s="0" t="n">
        <v>8.821045</v>
      </c>
      <c r="R60" s="0" t="n">
        <v>8.090478</v>
      </c>
      <c r="S60" s="0" t="n">
        <v>2</v>
      </c>
      <c r="T60" s="0" t="n">
        <v>7.818385</v>
      </c>
      <c r="U60" s="0" t="n">
        <v>7.560775</v>
      </c>
      <c r="V60" s="0" t="n">
        <v>5.964559</v>
      </c>
      <c r="W60" s="0" t="n">
        <v>6.165883</v>
      </c>
      <c r="X60" s="0" t="n">
        <v>5.35172</v>
      </c>
      <c r="Y60" s="0" t="n">
        <v>6.086259</v>
      </c>
      <c r="Z60" s="0" t="n">
        <v>7.311202</v>
      </c>
      <c r="AA60" s="0" t="n">
        <v>6.689836</v>
      </c>
      <c r="AB60" s="0" t="n">
        <v>2</v>
      </c>
      <c r="AC60" s="0" t="n">
        <v>9.765352</v>
      </c>
      <c r="AD60" s="0" t="n">
        <v>2</v>
      </c>
      <c r="AE60" s="0" t="n">
        <v>2</v>
      </c>
      <c r="AF60" s="0" t="n">
        <v>7.234136</v>
      </c>
      <c r="AG60" s="0" t="n">
        <v>2</v>
      </c>
      <c r="AH60" s="0" t="n">
        <v>3.63339</v>
      </c>
      <c r="AI60" s="0" t="n">
        <v>6.756876</v>
      </c>
      <c r="AJ60" s="0" t="n">
        <v>2</v>
      </c>
      <c r="AK60" s="0" t="n">
        <v>8.674621</v>
      </c>
      <c r="AL60" s="0" t="n">
        <v>6.64185</v>
      </c>
      <c r="AM60" s="0" t="n">
        <v>7.615036</v>
      </c>
      <c r="AN60" s="0" t="n">
        <v>6.879682</v>
      </c>
      <c r="AO60" s="0" t="n">
        <v>5.37751</v>
      </c>
      <c r="AP60" s="0" t="n">
        <v>2</v>
      </c>
      <c r="AQ60" s="0" t="n">
        <v>3.640498</v>
      </c>
      <c r="AR60" s="0" t="n">
        <v>6.137806</v>
      </c>
      <c r="AS60" s="0" t="n">
        <v>2</v>
      </c>
      <c r="AT60" s="0" t="n">
        <v>2</v>
      </c>
      <c r="AU60" s="0" t="n">
        <v>3.185382</v>
      </c>
      <c r="AV60" s="0" t="n">
        <v>3.185379</v>
      </c>
      <c r="AW60" s="0" t="n">
        <v>2</v>
      </c>
      <c r="AX60" s="0" t="n">
        <v>2</v>
      </c>
      <c r="AY60" s="0" t="n">
        <v>2.492167</v>
      </c>
      <c r="AZ60" s="0" t="n">
        <v>2</v>
      </c>
      <c r="BA60" s="0" t="n">
        <v>2</v>
      </c>
      <c r="BB60" s="0" t="n">
        <v>2</v>
      </c>
      <c r="BC60" s="0" t="n">
        <v>2</v>
      </c>
      <c r="BD60" s="0" t="n">
        <v>2</v>
      </c>
      <c r="BE60" s="0" t="n">
        <v>2</v>
      </c>
      <c r="BF60" s="0" t="n">
        <v>2</v>
      </c>
      <c r="BG60" s="0" t="n">
        <v>2</v>
      </c>
      <c r="BH60" s="0" t="n">
        <v>2</v>
      </c>
    </row>
    <row r="61" customFormat="false" ht="15" hidden="false" customHeight="false" outlineLevel="0" collapsed="false">
      <c r="A61" s="0" t="n">
        <v>60</v>
      </c>
      <c r="B61" s="0" t="s">
        <v>72</v>
      </c>
      <c r="C61" s="0" t="n">
        <v>2</v>
      </c>
      <c r="D61" s="0" t="n">
        <v>2</v>
      </c>
      <c r="E61" s="0" t="n">
        <v>2</v>
      </c>
      <c r="F61" s="0" t="n">
        <v>2</v>
      </c>
      <c r="G61" s="0" t="n">
        <v>2</v>
      </c>
      <c r="H61" s="0" t="n">
        <v>5.04081</v>
      </c>
      <c r="I61" s="0" t="n">
        <v>2</v>
      </c>
      <c r="J61" s="0" t="n">
        <v>2</v>
      </c>
      <c r="K61" s="0" t="n">
        <v>2</v>
      </c>
      <c r="L61" s="0" t="n">
        <v>2</v>
      </c>
      <c r="M61" s="0" t="n">
        <v>2</v>
      </c>
      <c r="N61" s="0" t="n">
        <v>2</v>
      </c>
      <c r="O61" s="0" t="n">
        <v>2</v>
      </c>
      <c r="P61" s="0" t="n">
        <v>2</v>
      </c>
      <c r="Q61" s="0" t="n">
        <v>2</v>
      </c>
      <c r="R61" s="0" t="n">
        <v>2</v>
      </c>
      <c r="S61" s="0" t="n">
        <v>2</v>
      </c>
      <c r="T61" s="0" t="n">
        <v>2</v>
      </c>
      <c r="U61" s="0" t="n">
        <v>7.560775</v>
      </c>
      <c r="V61" s="0" t="n">
        <v>2</v>
      </c>
      <c r="W61" s="0" t="n">
        <v>2</v>
      </c>
      <c r="X61" s="0" t="n">
        <v>2</v>
      </c>
      <c r="Y61" s="0" t="n">
        <v>6.086259</v>
      </c>
      <c r="Z61" s="0" t="n">
        <v>7.311202</v>
      </c>
      <c r="AA61" s="0" t="n">
        <v>2</v>
      </c>
      <c r="AB61" s="0" t="n">
        <v>2</v>
      </c>
      <c r="AC61" s="0" t="n">
        <v>2</v>
      </c>
      <c r="AD61" s="0" t="n">
        <v>2</v>
      </c>
      <c r="AE61" s="0" t="n">
        <v>2</v>
      </c>
      <c r="AF61" s="0" t="n">
        <v>2</v>
      </c>
      <c r="AG61" s="0" t="n">
        <v>2</v>
      </c>
      <c r="AH61" s="0" t="n">
        <v>2</v>
      </c>
      <c r="AI61" s="0" t="n">
        <v>2</v>
      </c>
      <c r="AJ61" s="0" t="n">
        <v>2</v>
      </c>
      <c r="AK61" s="0" t="n">
        <v>2</v>
      </c>
      <c r="AL61" s="0" t="n">
        <v>2</v>
      </c>
      <c r="AM61" s="0" t="n">
        <v>2</v>
      </c>
      <c r="AN61" s="0" t="n">
        <v>2</v>
      </c>
      <c r="AO61" s="0" t="n">
        <v>5.37751</v>
      </c>
      <c r="AP61" s="0" t="n">
        <v>2</v>
      </c>
      <c r="AQ61" s="0" t="n">
        <v>2</v>
      </c>
      <c r="AR61" s="0" t="n">
        <v>2</v>
      </c>
      <c r="AS61" s="0" t="n">
        <v>2</v>
      </c>
      <c r="AT61" s="0" t="n">
        <v>2</v>
      </c>
      <c r="AU61" s="0" t="n">
        <v>3.185382</v>
      </c>
      <c r="AV61" s="0" t="n">
        <v>3.185379</v>
      </c>
      <c r="AW61" s="0" t="n">
        <v>1.568401</v>
      </c>
      <c r="AX61" s="0" t="n">
        <v>1.629722</v>
      </c>
      <c r="AY61" s="0" t="n">
        <v>2.492167</v>
      </c>
      <c r="AZ61" s="0" t="n">
        <v>2.266842</v>
      </c>
      <c r="BA61" s="0" t="n">
        <v>1.784189</v>
      </c>
      <c r="BB61" s="0" t="n">
        <v>4.884708</v>
      </c>
      <c r="BC61" s="0" t="n">
        <v>1.612385</v>
      </c>
      <c r="BD61" s="0" t="n">
        <v>2.315689</v>
      </c>
      <c r="BE61" s="0" t="n">
        <v>3.740332</v>
      </c>
      <c r="BF61" s="0" t="n">
        <v>2</v>
      </c>
      <c r="BG61" s="0" t="n">
        <v>1.2</v>
      </c>
      <c r="BH61" s="0" t="n">
        <v>1.2</v>
      </c>
    </row>
    <row r="62" customFormat="false" ht="15" hidden="false" customHeight="false" outlineLevel="0" collapsed="false">
      <c r="A62" s="0" t="n">
        <v>61</v>
      </c>
      <c r="B62" s="0" t="s">
        <v>52</v>
      </c>
      <c r="C62" s="0" t="n">
        <v>2</v>
      </c>
      <c r="D62" s="0" t="n">
        <v>2</v>
      </c>
      <c r="E62" s="0" t="n">
        <v>2</v>
      </c>
      <c r="F62" s="0" t="n">
        <v>2</v>
      </c>
      <c r="G62" s="0" t="n">
        <v>2</v>
      </c>
      <c r="H62" s="0" t="n">
        <v>5.04081</v>
      </c>
      <c r="I62" s="0" t="n">
        <v>2</v>
      </c>
      <c r="J62" s="0" t="n">
        <v>2</v>
      </c>
      <c r="K62" s="0" t="n">
        <v>2</v>
      </c>
      <c r="L62" s="0" t="n">
        <v>2</v>
      </c>
      <c r="M62" s="0" t="n">
        <v>2</v>
      </c>
      <c r="N62" s="0" t="n">
        <v>2</v>
      </c>
      <c r="O62" s="0" t="n">
        <v>2</v>
      </c>
      <c r="P62" s="0" t="n">
        <v>2</v>
      </c>
      <c r="Q62" s="0" t="n">
        <v>2</v>
      </c>
      <c r="R62" s="0" t="n">
        <v>2</v>
      </c>
      <c r="S62" s="0" t="n">
        <v>2</v>
      </c>
      <c r="T62" s="0" t="n">
        <v>2</v>
      </c>
      <c r="U62" s="0" t="n">
        <v>2</v>
      </c>
      <c r="V62" s="0" t="n">
        <v>2</v>
      </c>
      <c r="W62" s="0" t="n">
        <v>2</v>
      </c>
      <c r="X62" s="0" t="n">
        <v>2</v>
      </c>
      <c r="Y62" s="0" t="n">
        <v>2</v>
      </c>
      <c r="Z62" s="0" t="n">
        <v>2</v>
      </c>
      <c r="AA62" s="0" t="n">
        <v>2</v>
      </c>
      <c r="AB62" s="0" t="n">
        <v>2</v>
      </c>
      <c r="AC62" s="0" t="n">
        <v>2</v>
      </c>
      <c r="AD62" s="0" t="n">
        <v>2</v>
      </c>
      <c r="AE62" s="0" t="n">
        <v>2</v>
      </c>
      <c r="AF62" s="0" t="n">
        <v>2</v>
      </c>
      <c r="AG62" s="0" t="n">
        <v>2</v>
      </c>
      <c r="AH62" s="0" t="n">
        <v>2</v>
      </c>
      <c r="AI62" s="0" t="n">
        <v>2</v>
      </c>
      <c r="AJ62" s="0" t="n">
        <v>2</v>
      </c>
      <c r="AK62" s="0" t="n">
        <v>2</v>
      </c>
      <c r="AL62" s="0" t="n">
        <v>2</v>
      </c>
      <c r="AM62" s="0" t="n">
        <v>2</v>
      </c>
      <c r="AN62" s="0" t="n">
        <v>6.879682</v>
      </c>
      <c r="AO62" s="0" t="n">
        <v>5.37751</v>
      </c>
      <c r="AP62" s="0" t="n">
        <v>2</v>
      </c>
      <c r="AQ62" s="0" t="n">
        <v>3.640498</v>
      </c>
      <c r="AR62" s="0" t="n">
        <v>2</v>
      </c>
      <c r="AS62" s="0" t="n">
        <v>2</v>
      </c>
      <c r="AT62" s="0" t="n">
        <v>2</v>
      </c>
      <c r="AU62" s="0" t="n">
        <v>3.185382</v>
      </c>
      <c r="AV62" s="0" t="n">
        <v>3.185379</v>
      </c>
      <c r="AW62" s="0" t="n">
        <v>1.568401</v>
      </c>
      <c r="AX62" s="0" t="n">
        <v>1.629722</v>
      </c>
      <c r="AY62" s="0" t="n">
        <v>2.492167</v>
      </c>
      <c r="AZ62" s="0" t="n">
        <v>2.266842</v>
      </c>
      <c r="BA62" s="0" t="n">
        <v>2</v>
      </c>
      <c r="BB62" s="0" t="n">
        <v>4.884708</v>
      </c>
      <c r="BC62" s="0" t="n">
        <v>1.612385</v>
      </c>
      <c r="BD62" s="0" t="n">
        <v>2.315689</v>
      </c>
      <c r="BE62" s="0" t="n">
        <v>3.740332</v>
      </c>
      <c r="BF62" s="0" t="n">
        <v>5.92267</v>
      </c>
      <c r="BG62" s="0" t="n">
        <v>1.2</v>
      </c>
      <c r="BH62" s="0" t="n">
        <v>1.2</v>
      </c>
    </row>
    <row r="63" customFormat="false" ht="15" hidden="false" customHeight="false" outlineLevel="0" collapsed="false">
      <c r="A63" s="0" t="n">
        <v>62</v>
      </c>
      <c r="B63" s="0" t="s">
        <v>55</v>
      </c>
      <c r="C63" s="0" t="n">
        <v>2</v>
      </c>
      <c r="D63" s="0" t="n">
        <v>2</v>
      </c>
      <c r="E63" s="0" t="n">
        <v>7.678486</v>
      </c>
      <c r="F63" s="0" t="n">
        <v>2</v>
      </c>
      <c r="G63" s="0" t="n">
        <v>2</v>
      </c>
      <c r="H63" s="0" t="n">
        <v>2</v>
      </c>
      <c r="I63" s="0" t="n">
        <v>2</v>
      </c>
      <c r="J63" s="0" t="n">
        <v>8.783788</v>
      </c>
      <c r="K63" s="0" t="n">
        <v>2</v>
      </c>
      <c r="L63" s="0" t="n">
        <v>2</v>
      </c>
      <c r="M63" s="0" t="n">
        <v>2</v>
      </c>
      <c r="N63" s="0" t="n">
        <v>2</v>
      </c>
      <c r="O63" s="0" t="n">
        <v>2</v>
      </c>
      <c r="P63" s="0" t="n">
        <v>2</v>
      </c>
      <c r="Q63" s="0" t="n">
        <v>2</v>
      </c>
      <c r="R63" s="0" t="n">
        <v>8.090478</v>
      </c>
      <c r="S63" s="0" t="n">
        <v>2</v>
      </c>
      <c r="T63" s="0" t="n">
        <v>2</v>
      </c>
      <c r="U63" s="0" t="n">
        <v>2</v>
      </c>
      <c r="V63" s="0" t="n">
        <v>2</v>
      </c>
      <c r="W63" s="0" t="n">
        <v>2</v>
      </c>
      <c r="X63" s="0" t="n">
        <v>5.35172</v>
      </c>
      <c r="Y63" s="0" t="n">
        <v>2</v>
      </c>
      <c r="Z63" s="0" t="n">
        <v>7.311202</v>
      </c>
      <c r="AA63" s="0" t="n">
        <v>2</v>
      </c>
      <c r="AB63" s="0" t="n">
        <v>2</v>
      </c>
      <c r="AC63" s="0" t="n">
        <v>2</v>
      </c>
      <c r="AD63" s="0" t="n">
        <v>2</v>
      </c>
      <c r="AE63" s="0" t="n">
        <v>2</v>
      </c>
      <c r="AF63" s="0" t="n">
        <v>2</v>
      </c>
      <c r="AG63" s="0" t="n">
        <v>2</v>
      </c>
      <c r="AH63" s="0" t="n">
        <v>2</v>
      </c>
      <c r="AI63" s="0" t="n">
        <v>6.756876</v>
      </c>
      <c r="AJ63" s="0" t="n">
        <v>2</v>
      </c>
      <c r="AK63" s="0" t="n">
        <v>8.674621</v>
      </c>
      <c r="AL63" s="0" t="n">
        <v>2</v>
      </c>
      <c r="AM63" s="0" t="n">
        <v>7.615036</v>
      </c>
      <c r="AN63" s="0" t="n">
        <v>6.879682</v>
      </c>
      <c r="AO63" s="0" t="n">
        <v>5.37751</v>
      </c>
      <c r="AP63" s="0" t="n">
        <v>2</v>
      </c>
      <c r="AQ63" s="0" t="n">
        <v>2</v>
      </c>
      <c r="AR63" s="0" t="n">
        <v>2</v>
      </c>
      <c r="AS63" s="0" t="n">
        <v>2</v>
      </c>
      <c r="AT63" s="0" t="n">
        <v>2</v>
      </c>
      <c r="AU63" s="0" t="n">
        <v>3.185382</v>
      </c>
      <c r="AV63" s="0" t="n">
        <v>3.185379</v>
      </c>
      <c r="AW63" s="0" t="n">
        <v>2</v>
      </c>
      <c r="AX63" s="0" t="n">
        <v>2</v>
      </c>
      <c r="AY63" s="0" t="n">
        <v>2.492167</v>
      </c>
      <c r="AZ63" s="0" t="n">
        <v>2</v>
      </c>
      <c r="BA63" s="0" t="n">
        <v>2</v>
      </c>
      <c r="BB63" s="0" t="n">
        <v>2</v>
      </c>
      <c r="BC63" s="0" t="n">
        <v>2</v>
      </c>
      <c r="BD63" s="0" t="n">
        <v>2</v>
      </c>
      <c r="BE63" s="0" t="n">
        <v>2</v>
      </c>
      <c r="BF63" s="0" t="n">
        <v>2</v>
      </c>
      <c r="BG63" s="0" t="n">
        <v>2</v>
      </c>
      <c r="BH63" s="0" t="n">
        <v>2</v>
      </c>
    </row>
    <row r="64" customFormat="false" ht="15" hidden="false" customHeight="false" outlineLevel="0" collapsed="false">
      <c r="A64" s="0" t="n">
        <v>63</v>
      </c>
      <c r="B64" s="0" t="s">
        <v>60</v>
      </c>
      <c r="C64" s="0" t="n">
        <v>2</v>
      </c>
      <c r="D64" s="0" t="n">
        <v>2</v>
      </c>
      <c r="E64" s="0" t="n">
        <v>2</v>
      </c>
      <c r="F64" s="0" t="n">
        <v>2</v>
      </c>
      <c r="G64" s="0" t="n">
        <v>2</v>
      </c>
      <c r="H64" s="0" t="n">
        <v>5.04081</v>
      </c>
      <c r="I64" s="0" t="n">
        <v>2</v>
      </c>
      <c r="J64" s="0" t="n">
        <v>2</v>
      </c>
      <c r="K64" s="0" t="n">
        <v>2</v>
      </c>
      <c r="L64" s="0" t="n">
        <v>2</v>
      </c>
      <c r="M64" s="0" t="n">
        <v>2</v>
      </c>
      <c r="N64" s="0" t="n">
        <v>2</v>
      </c>
      <c r="O64" s="0" t="n">
        <v>2</v>
      </c>
      <c r="P64" s="0" t="n">
        <v>2</v>
      </c>
      <c r="Q64" s="0" t="n">
        <v>2</v>
      </c>
      <c r="R64" s="0" t="n">
        <v>2</v>
      </c>
      <c r="S64" s="0" t="n">
        <v>2</v>
      </c>
      <c r="T64" s="0" t="n">
        <v>2</v>
      </c>
      <c r="U64" s="0" t="n">
        <v>2</v>
      </c>
      <c r="V64" s="0" t="n">
        <v>2</v>
      </c>
      <c r="W64" s="0" t="n">
        <v>2</v>
      </c>
      <c r="X64" s="0" t="n">
        <v>2</v>
      </c>
      <c r="Y64" s="0" t="n">
        <v>2</v>
      </c>
      <c r="Z64" s="0" t="n">
        <v>2</v>
      </c>
      <c r="AA64" s="0" t="n">
        <v>2</v>
      </c>
      <c r="AB64" s="0" t="n">
        <v>2</v>
      </c>
      <c r="AC64" s="0" t="n">
        <v>2</v>
      </c>
      <c r="AD64" s="0" t="n">
        <v>2</v>
      </c>
      <c r="AE64" s="0" t="n">
        <v>2</v>
      </c>
      <c r="AF64" s="0" t="n">
        <v>2</v>
      </c>
      <c r="AG64" s="0" t="n">
        <v>2</v>
      </c>
      <c r="AH64" s="0" t="n">
        <v>2</v>
      </c>
      <c r="AI64" s="0" t="n">
        <v>2</v>
      </c>
      <c r="AJ64" s="0" t="n">
        <v>2</v>
      </c>
      <c r="AK64" s="0" t="n">
        <v>2</v>
      </c>
      <c r="AL64" s="0" t="n">
        <v>2</v>
      </c>
      <c r="AM64" s="0" t="n">
        <v>2</v>
      </c>
      <c r="AN64" s="0" t="n">
        <v>2</v>
      </c>
      <c r="AO64" s="0" t="n">
        <v>2</v>
      </c>
      <c r="AP64" s="0" t="n">
        <v>2</v>
      </c>
      <c r="AQ64" s="0" t="n">
        <v>2</v>
      </c>
      <c r="AR64" s="0" t="n">
        <v>2</v>
      </c>
      <c r="AS64" s="0" t="n">
        <v>2</v>
      </c>
      <c r="AT64" s="0" t="n">
        <v>2</v>
      </c>
      <c r="AU64" s="0" t="n">
        <v>3.185382</v>
      </c>
      <c r="AV64" s="0" t="n">
        <v>3.185379</v>
      </c>
      <c r="AW64" s="0" t="n">
        <v>1.568401</v>
      </c>
      <c r="AX64" s="0" t="n">
        <v>1.629722</v>
      </c>
      <c r="AY64" s="0" t="n">
        <v>2.492167</v>
      </c>
      <c r="AZ64" s="0" t="n">
        <v>2.266842</v>
      </c>
      <c r="BA64" s="0" t="n">
        <v>2</v>
      </c>
      <c r="BB64" s="0" t="n">
        <v>4.884708</v>
      </c>
      <c r="BC64" s="0" t="n">
        <v>1.612385</v>
      </c>
      <c r="BD64" s="0" t="n">
        <v>2.315689</v>
      </c>
      <c r="BE64" s="0" t="n">
        <v>3.740332</v>
      </c>
      <c r="BF64" s="0" t="n">
        <v>5.92267</v>
      </c>
      <c r="BG64" s="0" t="n">
        <v>1.2</v>
      </c>
      <c r="BH64" s="0" t="n">
        <v>1.2</v>
      </c>
    </row>
    <row r="65" customFormat="false" ht="15" hidden="false" customHeight="false" outlineLevel="0" collapsed="false">
      <c r="A65" s="0" t="n">
        <v>64</v>
      </c>
      <c r="B65" s="0" t="s">
        <v>57</v>
      </c>
      <c r="C65" s="0" t="n">
        <v>2</v>
      </c>
      <c r="D65" s="0" t="n">
        <v>2</v>
      </c>
      <c r="E65" s="0" t="n">
        <v>7.678486</v>
      </c>
      <c r="F65" s="0" t="n">
        <v>2</v>
      </c>
      <c r="G65" s="0" t="n">
        <v>2</v>
      </c>
      <c r="H65" s="0" t="n">
        <v>2</v>
      </c>
      <c r="I65" s="0" t="n">
        <v>8.754325</v>
      </c>
      <c r="J65" s="0" t="n">
        <v>2</v>
      </c>
      <c r="K65" s="0" t="n">
        <v>2</v>
      </c>
      <c r="L65" s="0" t="n">
        <v>2</v>
      </c>
      <c r="M65" s="0" t="n">
        <v>2</v>
      </c>
      <c r="N65" s="0" t="n">
        <v>2</v>
      </c>
      <c r="O65" s="0" t="n">
        <v>2</v>
      </c>
      <c r="P65" s="0" t="n">
        <v>8.612306</v>
      </c>
      <c r="Q65" s="0" t="n">
        <v>8.821045</v>
      </c>
      <c r="R65" s="0" t="n">
        <v>8.090478</v>
      </c>
      <c r="S65" s="0" t="n">
        <v>7.249875</v>
      </c>
      <c r="T65" s="0" t="n">
        <v>2</v>
      </c>
      <c r="U65" s="0" t="n">
        <v>7.560775</v>
      </c>
      <c r="V65" s="0" t="n">
        <v>2</v>
      </c>
      <c r="W65" s="0" t="n">
        <v>2</v>
      </c>
      <c r="X65" s="0" t="n">
        <v>5.35172</v>
      </c>
      <c r="Y65" s="0" t="n">
        <v>2</v>
      </c>
      <c r="Z65" s="0" t="n">
        <v>7.311202</v>
      </c>
      <c r="AA65" s="0" t="n">
        <v>6.689836</v>
      </c>
      <c r="AB65" s="0" t="n">
        <v>2</v>
      </c>
      <c r="AC65" s="0" t="n">
        <v>2</v>
      </c>
      <c r="AD65" s="0" t="n">
        <v>2</v>
      </c>
      <c r="AE65" s="0" t="n">
        <v>2</v>
      </c>
      <c r="AF65" s="0" t="n">
        <v>2</v>
      </c>
      <c r="AG65" s="0" t="n">
        <v>2</v>
      </c>
      <c r="AH65" s="0" t="n">
        <v>2</v>
      </c>
      <c r="AI65" s="0" t="n">
        <v>6.756876</v>
      </c>
      <c r="AJ65" s="0" t="n">
        <v>8.033248</v>
      </c>
      <c r="AK65" s="0" t="n">
        <v>8.674621</v>
      </c>
      <c r="AL65" s="0" t="n">
        <v>2</v>
      </c>
      <c r="AM65" s="0" t="n">
        <v>7.615036</v>
      </c>
      <c r="AN65" s="0" t="n">
        <v>6.879682</v>
      </c>
      <c r="AO65" s="0" t="n">
        <v>5.37751</v>
      </c>
      <c r="AP65" s="0" t="n">
        <v>6.30866</v>
      </c>
      <c r="AQ65" s="0" t="n">
        <v>3.640498</v>
      </c>
      <c r="AR65" s="0" t="n">
        <v>6.137806</v>
      </c>
      <c r="AS65" s="0" t="n">
        <v>2</v>
      </c>
      <c r="AT65" s="0" t="n">
        <v>5.694231</v>
      </c>
      <c r="AU65" s="0" t="n">
        <v>3.185382</v>
      </c>
      <c r="AV65" s="0" t="n">
        <v>3.185379</v>
      </c>
      <c r="AW65" s="0" t="n">
        <v>1.568401</v>
      </c>
      <c r="AX65" s="0" t="n">
        <v>1.629722</v>
      </c>
      <c r="AY65" s="0" t="n">
        <v>2.492167</v>
      </c>
      <c r="AZ65" s="0" t="n">
        <v>2.266842</v>
      </c>
      <c r="BA65" s="0" t="n">
        <v>1.784189</v>
      </c>
      <c r="BB65" s="0" t="n">
        <v>2</v>
      </c>
      <c r="BC65" s="0" t="n">
        <v>2</v>
      </c>
      <c r="BD65" s="0" t="n">
        <v>2.315689</v>
      </c>
      <c r="BE65" s="0" t="n">
        <v>3.740332</v>
      </c>
      <c r="BF65" s="0" t="n">
        <v>2</v>
      </c>
      <c r="BG65" s="0" t="n">
        <v>1.2</v>
      </c>
      <c r="BH65" s="0" t="n">
        <v>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2026-10-25T20:34:54Z</dcterms:created>
  <dc:creator>Woodstock, Matthew Stephen</dc:creator>
  <dc:description/>
  <dc:language>en-US</dc:language>
  <cp:lastModifiedBy>Woodstock, Matthew Stephen</cp:lastModifiedBy>
  <dcterms:modified xsi:type="dcterms:W3CDTF">2026-10-25T20:41:34Z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